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\Bureau\EGLISE ACTUALISE\DOSSIER 2025\FICHIERS A JOUR\"/>
    </mc:Choice>
  </mc:AlternateContent>
  <bookViews>
    <workbookView xWindow="0" yWindow="0" windowWidth="23040" windowHeight="8964"/>
  </bookViews>
  <sheets>
    <sheet name="COTISATION MENSUELLE 2025" sheetId="1" r:id="rId1"/>
    <sheet name="Feuil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31" i="1" l="1"/>
  <c r="L131" i="1"/>
  <c r="M131" i="1"/>
  <c r="M112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17" i="1"/>
  <c r="P111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1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7" i="1"/>
  <c r="K112" i="1" l="1"/>
  <c r="L112" i="1"/>
  <c r="Q7" i="1"/>
  <c r="R7" i="1" s="1"/>
  <c r="I24" i="1" l="1"/>
  <c r="I30" i="1"/>
  <c r="N131" i="1"/>
  <c r="N112" i="1"/>
  <c r="J109" i="1" l="1"/>
  <c r="J95" i="1"/>
  <c r="F42" i="1" l="1"/>
  <c r="D78" i="1"/>
  <c r="Q8" i="1" l="1"/>
  <c r="R8" i="1" s="1"/>
  <c r="Q10" i="1"/>
  <c r="R10" i="1" s="1"/>
  <c r="Q11" i="1"/>
  <c r="R11" i="1" s="1"/>
  <c r="S112" i="1"/>
  <c r="S131" i="1"/>
  <c r="Q121" i="1"/>
  <c r="R121" i="1" s="1"/>
  <c r="Q127" i="1"/>
  <c r="R127" i="1" s="1"/>
  <c r="Q129" i="1"/>
  <c r="R129" i="1" s="1"/>
  <c r="Q36" i="1"/>
  <c r="R36" i="1" s="1"/>
  <c r="Q89" i="1"/>
  <c r="R89" i="1" s="1"/>
  <c r="Q92" i="1"/>
  <c r="R92" i="1" s="1"/>
  <c r="Q102" i="1"/>
  <c r="R102" i="1" s="1"/>
  <c r="Q126" i="1" l="1"/>
  <c r="R126" i="1" s="1"/>
  <c r="Q118" i="1"/>
  <c r="R118" i="1" s="1"/>
  <c r="Q109" i="1"/>
  <c r="R109" i="1" s="1"/>
  <c r="Q101" i="1"/>
  <c r="R101" i="1" s="1"/>
  <c r="Q93" i="1"/>
  <c r="R93" i="1" s="1"/>
  <c r="Q69" i="1"/>
  <c r="R69" i="1" s="1"/>
  <c r="Q53" i="1"/>
  <c r="R53" i="1" s="1"/>
  <c r="Q45" i="1"/>
  <c r="R45" i="1" s="1"/>
  <c r="Q107" i="1"/>
  <c r="R107" i="1" s="1"/>
  <c r="Q99" i="1"/>
  <c r="R99" i="1" s="1"/>
  <c r="Q91" i="1"/>
  <c r="R91" i="1" s="1"/>
  <c r="Q83" i="1"/>
  <c r="R83" i="1" s="1"/>
  <c r="Q75" i="1"/>
  <c r="R75" i="1" s="1"/>
  <c r="Q111" i="1"/>
  <c r="R111" i="1" s="1"/>
  <c r="Q103" i="1"/>
  <c r="R103" i="1" s="1"/>
  <c r="Q95" i="1"/>
  <c r="R95" i="1" s="1"/>
  <c r="Q55" i="1"/>
  <c r="R55" i="1" s="1"/>
  <c r="Q128" i="1"/>
  <c r="R128" i="1" s="1"/>
  <c r="Q120" i="1"/>
  <c r="R120" i="1" s="1"/>
  <c r="Q106" i="1"/>
  <c r="R106" i="1" s="1"/>
  <c r="Q90" i="1"/>
  <c r="R90" i="1" s="1"/>
  <c r="Q82" i="1"/>
  <c r="R82" i="1" s="1"/>
  <c r="Q74" i="1"/>
  <c r="R74" i="1" s="1"/>
  <c r="Q50" i="1"/>
  <c r="R50" i="1" s="1"/>
  <c r="Q35" i="1"/>
  <c r="R35" i="1" s="1"/>
  <c r="Q27" i="1"/>
  <c r="R27" i="1" s="1"/>
  <c r="Q19" i="1"/>
  <c r="R19" i="1" s="1"/>
  <c r="Q94" i="1"/>
  <c r="R94" i="1" s="1"/>
  <c r="Q98" i="1"/>
  <c r="R98" i="1" s="1"/>
  <c r="Q119" i="1"/>
  <c r="R119" i="1" s="1"/>
  <c r="Q125" i="1"/>
  <c r="R125" i="1" s="1"/>
  <c r="Q97" i="1"/>
  <c r="R97" i="1" s="1"/>
  <c r="Q73" i="1"/>
  <c r="R73" i="1" s="1"/>
  <c r="Q49" i="1"/>
  <c r="R49" i="1" s="1"/>
  <c r="Q18" i="1"/>
  <c r="R18" i="1" s="1"/>
  <c r="Q117" i="1"/>
  <c r="R117" i="1" s="1"/>
  <c r="Q123" i="1"/>
  <c r="R123" i="1" s="1"/>
  <c r="Q100" i="1"/>
  <c r="R100" i="1" s="1"/>
  <c r="Q84" i="1"/>
  <c r="R84" i="1" s="1"/>
  <c r="Q76" i="1"/>
  <c r="R76" i="1" s="1"/>
  <c r="Q105" i="1"/>
  <c r="R105" i="1" s="1"/>
  <c r="Q81" i="1"/>
  <c r="R81" i="1" s="1"/>
  <c r="Q65" i="1"/>
  <c r="R65" i="1" s="1"/>
  <c r="Q42" i="1"/>
  <c r="R42" i="1" s="1"/>
  <c r="Q34" i="1"/>
  <c r="R34" i="1" s="1"/>
  <c r="Q130" i="1"/>
  <c r="R130" i="1" s="1"/>
  <c r="Q122" i="1"/>
  <c r="R122" i="1" s="1"/>
  <c r="Q57" i="1"/>
  <c r="R57" i="1" s="1"/>
  <c r="Q26" i="1"/>
  <c r="R26" i="1" s="1"/>
  <c r="Q110" i="1"/>
  <c r="R110" i="1" s="1"/>
  <c r="Q86" i="1"/>
  <c r="R86" i="1" s="1"/>
  <c r="Q70" i="1"/>
  <c r="R70" i="1" s="1"/>
  <c r="Q54" i="1"/>
  <c r="R54" i="1" s="1"/>
  <c r="Q46" i="1"/>
  <c r="R46" i="1" s="1"/>
  <c r="Q96" i="1"/>
  <c r="R96" i="1" s="1"/>
  <c r="Q72" i="1"/>
  <c r="R72" i="1" s="1"/>
  <c r="Q87" i="1"/>
  <c r="R87" i="1" s="1"/>
  <c r="Q79" i="1"/>
  <c r="R79" i="1" s="1"/>
  <c r="Q71" i="1"/>
  <c r="R71" i="1" s="1"/>
  <c r="Q124" i="1"/>
  <c r="R124" i="1" s="1"/>
  <c r="Q108" i="1"/>
  <c r="R108" i="1" s="1"/>
  <c r="Q52" i="1"/>
  <c r="R52" i="1" s="1"/>
  <c r="Q44" i="1"/>
  <c r="R44" i="1" s="1"/>
  <c r="Q37" i="1"/>
  <c r="R37" i="1" s="1"/>
  <c r="Q78" i="1"/>
  <c r="R78" i="1" s="1"/>
  <c r="Q104" i="1"/>
  <c r="R104" i="1" s="1"/>
  <c r="Q88" i="1"/>
  <c r="R88" i="1" s="1"/>
  <c r="Q33" i="1"/>
  <c r="R33" i="1" s="1"/>
  <c r="Q51" i="1"/>
  <c r="R51" i="1" s="1"/>
  <c r="Q43" i="1"/>
  <c r="R43" i="1" s="1"/>
  <c r="Q28" i="1"/>
  <c r="R28" i="1" s="1"/>
  <c r="Q20" i="1"/>
  <c r="R20" i="1" s="1"/>
  <c r="Q85" i="1"/>
  <c r="R85" i="1" s="1"/>
  <c r="Q77" i="1"/>
  <c r="R77" i="1" s="1"/>
  <c r="Q63" i="1"/>
  <c r="R63" i="1" s="1"/>
  <c r="Q40" i="1"/>
  <c r="R40" i="1" s="1"/>
  <c r="Q62" i="1"/>
  <c r="R62" i="1" s="1"/>
  <c r="Q39" i="1"/>
  <c r="R39" i="1" s="1"/>
  <c r="Q31" i="1"/>
  <c r="R31" i="1" s="1"/>
  <c r="Q23" i="1"/>
  <c r="R23" i="1" s="1"/>
  <c r="Q15" i="1"/>
  <c r="R15" i="1" s="1"/>
  <c r="Q48" i="1"/>
  <c r="R48" i="1" s="1"/>
  <c r="Q25" i="1"/>
  <c r="R25" i="1" s="1"/>
  <c r="Q24" i="1"/>
  <c r="R24" i="1" s="1"/>
  <c r="Q61" i="1"/>
  <c r="R61" i="1" s="1"/>
  <c r="Q38" i="1"/>
  <c r="R38" i="1" s="1"/>
  <c r="Q30" i="1"/>
  <c r="R30" i="1" s="1"/>
  <c r="Q22" i="1"/>
  <c r="R22" i="1" s="1"/>
  <c r="Q14" i="1"/>
  <c r="R14" i="1" s="1"/>
  <c r="Q68" i="1"/>
  <c r="R68" i="1" s="1"/>
  <c r="Q60" i="1"/>
  <c r="R60" i="1" s="1"/>
  <c r="Q29" i="1"/>
  <c r="R29" i="1" s="1"/>
  <c r="Q21" i="1"/>
  <c r="R21" i="1" s="1"/>
  <c r="Q17" i="1"/>
  <c r="R17" i="1" s="1"/>
  <c r="Q47" i="1"/>
  <c r="R47" i="1" s="1"/>
  <c r="Q16" i="1"/>
  <c r="R16" i="1" s="1"/>
  <c r="Q67" i="1"/>
  <c r="R67" i="1" s="1"/>
  <c r="Q59" i="1"/>
  <c r="R59" i="1" s="1"/>
  <c r="Q12" i="1"/>
  <c r="R12" i="1" s="1"/>
  <c r="Q64" i="1"/>
  <c r="R64" i="1" s="1"/>
  <c r="Q32" i="1"/>
  <c r="R32" i="1" s="1"/>
  <c r="Q66" i="1"/>
  <c r="R66" i="1" s="1"/>
  <c r="Q13" i="1"/>
  <c r="R13" i="1" s="1"/>
  <c r="Q58" i="1"/>
  <c r="R58" i="1" s="1"/>
  <c r="Q80" i="1"/>
  <c r="R80" i="1" s="1"/>
  <c r="Q56" i="1"/>
  <c r="R56" i="1" s="1"/>
  <c r="Q41" i="1"/>
  <c r="R41" i="1" s="1"/>
  <c r="Q9" i="1"/>
  <c r="R9" i="1" s="1"/>
  <c r="D131" i="1"/>
  <c r="E131" i="1"/>
  <c r="F131" i="1"/>
  <c r="G131" i="1"/>
  <c r="H131" i="1"/>
  <c r="I131" i="1"/>
  <c r="J131" i="1"/>
  <c r="O131" i="1"/>
  <c r="P131" i="1"/>
  <c r="C131" i="1"/>
  <c r="D112" i="1"/>
  <c r="E112" i="1"/>
  <c r="F112" i="1"/>
  <c r="G112" i="1"/>
  <c r="H112" i="1"/>
  <c r="I112" i="1"/>
  <c r="J112" i="1"/>
  <c r="O112" i="1"/>
  <c r="C112" i="1"/>
  <c r="P112" i="1" l="1"/>
  <c r="Q131" i="1" l="1"/>
  <c r="R131" i="1"/>
  <c r="R112" i="1"/>
  <c r="Q112" i="1"/>
</calcChain>
</file>

<file path=xl/sharedStrings.xml><?xml version="1.0" encoding="utf-8"?>
<sst xmlns="http://schemas.openxmlformats.org/spreadsheetml/2006/main" count="186" uniqueCount="164">
  <si>
    <t xml:space="preserve">  PAROISSE DU CINQUANTENAIRE</t>
  </si>
  <si>
    <t xml:space="preserve">  COLLEGE DES CONSEILLERS DU CINQUANTENAIRE (NOUVEAU)</t>
  </si>
  <si>
    <t>N°</t>
  </si>
  <si>
    <t>Noms et prénoms</t>
  </si>
  <si>
    <t>Cotisations Janvier</t>
  </si>
  <si>
    <t>Cotisations Février</t>
  </si>
  <si>
    <t>Cotisations Mars</t>
  </si>
  <si>
    <t>Cotisations Avril</t>
  </si>
  <si>
    <t>Cotisations Mai</t>
  </si>
  <si>
    <t>Cotisations Juin</t>
  </si>
  <si>
    <t>Cotisations Juillet</t>
  </si>
  <si>
    <t>Cotisations échues</t>
  </si>
  <si>
    <t>Cotisation de la période</t>
  </si>
  <si>
    <t>Solde de la période</t>
  </si>
  <si>
    <t>Soldes cumulés</t>
  </si>
  <si>
    <t>BAKANKIO EMMANUEL</t>
  </si>
  <si>
    <t>BEKOU HENRIETTE</t>
  </si>
  <si>
    <t>BIABO NOUTAT CASIMIR</t>
  </si>
  <si>
    <t>BIALEUN KAMTCHOU JULES</t>
  </si>
  <si>
    <t>CHIMI TCHOUANHOU CLAUDE</t>
  </si>
  <si>
    <t>DJAMEN Epse NJEUHA TCHANA NADINE LAURE</t>
  </si>
  <si>
    <t>DJIA LYDIA CELESTINE</t>
  </si>
  <si>
    <t>DJIODJA MIKOS EDWIGE</t>
  </si>
  <si>
    <t>DJOMO TSESEU DOUZALINE</t>
  </si>
  <si>
    <t>DJOUKAM Epse NGALAHO LAURE</t>
  </si>
  <si>
    <t>DONYO Epse FOSSO FLORENCE JOELLE</t>
  </si>
  <si>
    <t>DZONTEU MOÏSE</t>
  </si>
  <si>
    <t>EBASSI EBONGUE Epse NGANGUE PAULINE</t>
  </si>
  <si>
    <t>EKOUM ABEL</t>
  </si>
  <si>
    <t>FANKAM MARTIN</t>
  </si>
  <si>
    <t>FOBASSO FOTOUO Epse YEMENE GLADIS</t>
  </si>
  <si>
    <t>FOKETCHIAN CELINE</t>
  </si>
  <si>
    <t>FONCHAM NCHINDA EMMANUEL</t>
  </si>
  <si>
    <t>FONDJA CHANTAL ALISE</t>
  </si>
  <si>
    <t>FONDJA YOUMGUIN JACQUEINE</t>
  </si>
  <si>
    <t>FOTSO GUETSING JACQUEILNE</t>
  </si>
  <si>
    <t>FOTSO TOCHE ALAIN</t>
  </si>
  <si>
    <t>FOTSO TOKAM EMMANUEL</t>
  </si>
  <si>
    <t>FOUTSOP YMELI ROMEO</t>
  </si>
  <si>
    <t>JANTEN TCHAGNA CHRISPIN</t>
  </si>
  <si>
    <t>JOUOGO FOTSO Epse DJOU SYLVIANE</t>
  </si>
  <si>
    <t>KAMGA FLORANCE DESIREE</t>
  </si>
  <si>
    <t>KAMGA HERMANN RAOUL</t>
  </si>
  <si>
    <t>KAMGANG THADEE</t>
  </si>
  <si>
    <t>KANA TCHINDA CHRISTIAN</t>
  </si>
  <si>
    <t>KAWA Epse DJUIMO BERTHE</t>
  </si>
  <si>
    <t>KENMOGNE NGUEMNIM EMMANUEL</t>
  </si>
  <si>
    <t>KEPSEU DJOMO GASPARD</t>
  </si>
  <si>
    <t>KOUAKAM NANA THEOPHILE</t>
  </si>
  <si>
    <t>KOUAM DJOKO Epse GOUATER ELISABETH</t>
  </si>
  <si>
    <t>KOUAM PONOU Epse MBA JACQUELINE</t>
  </si>
  <si>
    <t>KOUECHEU CHEKEP CHARLOTTE</t>
  </si>
  <si>
    <t>MAGNE KAMWA Epse YOUTCHOM ESTELLE ELODIE</t>
  </si>
  <si>
    <t>MBANDOU KETCHATCHAM CLAUDE</t>
  </si>
  <si>
    <t>MBOUKAM TCHONTA ELISE</t>
  </si>
  <si>
    <t>MBOUMI LYDIE</t>
  </si>
  <si>
    <t>MEUPINYI Epse YOUDOM CECILE</t>
  </si>
  <si>
    <t>MOTCHOFFO SERGE BERTRAND</t>
  </si>
  <si>
    <t>MOTSO SAKEPA ELVIRE</t>
  </si>
  <si>
    <t>NANA NGADJI Epse TCHOUATE DESIRE</t>
  </si>
  <si>
    <t>NANA TCHAKOTE ELISE</t>
  </si>
  <si>
    <t>NANGOUO Epse MBONGUE ANNE</t>
  </si>
  <si>
    <t>NANTSA AUGUSTIN</t>
  </si>
  <si>
    <t>NGAHA ANNICK</t>
  </si>
  <si>
    <t>NGAMGA TCHAPTCHET NADEGE SANDRINE</t>
  </si>
  <si>
    <t>NGANTOU LANGUE PATRICK</t>
  </si>
  <si>
    <t>NGNEPI NEE GAMO GISELE</t>
  </si>
  <si>
    <t>NGNOSSI MERLIN</t>
  </si>
  <si>
    <t>NGO MBONG Epse DJOMO ANNE MADELEINE</t>
  </si>
  <si>
    <t>NGONGO Epse TIEMANI TCHAKOUA CLAIRE IDE</t>
  </si>
  <si>
    <t>NGO'NO KOUANOU Epse SINJI HONORINE</t>
  </si>
  <si>
    <t>NGOUANE ARMEL</t>
  </si>
  <si>
    <t>NGOUNA JEAN</t>
  </si>
  <si>
    <t>NGUETCHOM FLORENCE</t>
  </si>
  <si>
    <t>NJADJA ROBENIR</t>
  </si>
  <si>
    <t>NJINPOU Epse TSENGAM MARIE BRIGITTE</t>
  </si>
  <si>
    <t>NJUISSIE NGATCHEU ALINE LAURE</t>
  </si>
  <si>
    <t>NKOHNDA Epse YANKAM JACQUELINE</t>
  </si>
  <si>
    <t>NKOMBYA Epse MBIALEU CHARLOTTE</t>
  </si>
  <si>
    <t>NOBUE ROGER</t>
  </si>
  <si>
    <t>NOUBISSI TACHOM GHISLAIN</t>
  </si>
  <si>
    <t>NOUETSA RAÏSSA</t>
  </si>
  <si>
    <t>NOUGANG JULES BERNARD</t>
  </si>
  <si>
    <t>NOUGANG Née MEFO MARIE</t>
  </si>
  <si>
    <t>NTOUBA MPAY LOUISETTE</t>
  </si>
  <si>
    <t>NZEUTAM PATRRICK HERVE</t>
  </si>
  <si>
    <t>NZOKAM MOUMBE LISETTE</t>
  </si>
  <si>
    <t>PIEBENG ARMEL RODRIGUE</t>
  </si>
  <si>
    <t>SAH NEE WANDJA MARCELINE</t>
  </si>
  <si>
    <t>SANDJO CELESTIN</t>
  </si>
  <si>
    <t>SIKADI MANEWA SYLVIE NATHALIE</t>
  </si>
  <si>
    <t>SIMBAFO BERNADETTE</t>
  </si>
  <si>
    <t>SIMO SIMO Epse KENMOGNIE CAROLE</t>
  </si>
  <si>
    <t>SIPEUWOU ELISE</t>
  </si>
  <si>
    <t>TAMI TITO EMMANUEL</t>
  </si>
  <si>
    <t>TAPINDJIE JEAN PIERRE</t>
  </si>
  <si>
    <t>TCHAMO MATHURIN</t>
  </si>
  <si>
    <t>TCHATCHOUANG NATHALIE</t>
  </si>
  <si>
    <t>TCHATE SIZYANDJI LEOPOLDINE</t>
  </si>
  <si>
    <t>TCHIO FRANCINE</t>
  </si>
  <si>
    <t>TCHOUAPY TCHOUAKE JULES FELIX</t>
  </si>
  <si>
    <t>TCHOUNGAN CELESTIN</t>
  </si>
  <si>
    <t>TCHOUPOU ZEPHYRIN</t>
  </si>
  <si>
    <t>TCHUENSSU CHEPONMO EPSE BENGA JOCELYNE</t>
  </si>
  <si>
    <t>TCHUMNOUE TAGATZI ALINE</t>
  </si>
  <si>
    <t>TOUDJI Epse KOUAKAM EVELINE</t>
  </si>
  <si>
    <t>TOUKAP NJEPANG EPSE NZOLIA ANICHANCEL</t>
  </si>
  <si>
    <t>TSACHOUA PIERRE</t>
  </si>
  <si>
    <t>TSAYEM ODETTE</t>
  </si>
  <si>
    <t>WATI JEAN</t>
  </si>
  <si>
    <t>WEYGA HONORINE</t>
  </si>
  <si>
    <t xml:space="preserve">WOUAKO EPSE LISSOUCK MELANIE </t>
  </si>
  <si>
    <t>YAMDJE TCHOCONTE EPSE SANGANG JEANNE</t>
  </si>
  <si>
    <t>YAMEN ERNESTINE</t>
  </si>
  <si>
    <t>YONKEU CHRISTOPHE</t>
  </si>
  <si>
    <t>YOUASSI ZACHEE</t>
  </si>
  <si>
    <t>YOUBI EPSE NZALI ELISE</t>
  </si>
  <si>
    <t>YOUBISSI SONIA</t>
  </si>
  <si>
    <t>TOTAL</t>
  </si>
  <si>
    <t>FEUYOM NGONGANG GILLES</t>
  </si>
  <si>
    <t>KEUMOE KUIPOU BERTRAND</t>
  </si>
  <si>
    <t>KOM TCHOUANKEP PATRICK HERVE</t>
  </si>
  <si>
    <t>MABOU FANDJIP GAEL</t>
  </si>
  <si>
    <t>MABUNE NTETMEN IRENE</t>
  </si>
  <si>
    <t>MBIANDA SAH CATHERINE</t>
  </si>
  <si>
    <t>METCHECHUM KAMGA Epse NGUEPJOU OLIVE FELICITE</t>
  </si>
  <si>
    <t>NGATCHOU NIAT HONORINRE</t>
  </si>
  <si>
    <t>NJAMY FOMENE GUY ELEONORE</t>
  </si>
  <si>
    <t>NKAMGA Epse DOUBIA HONORINE</t>
  </si>
  <si>
    <t>NONYOU JACQUES</t>
  </si>
  <si>
    <t>NSANGOU PEKEKUE MAX LEGRAND</t>
  </si>
  <si>
    <t>NZONTEU née TESSOKONG ELISE LAURE</t>
  </si>
  <si>
    <t>TCHAHA NANA MERLIN AYME</t>
  </si>
  <si>
    <t>NOUETSA POLICARPE</t>
  </si>
  <si>
    <t>AUTRES CONTIBUTIONS</t>
  </si>
  <si>
    <t>REPAS FRATERNEL</t>
  </si>
  <si>
    <t>MANGOUA SAFOUNDIE ESTHER</t>
  </si>
  <si>
    <t>Soldes au 31/12/2024</t>
  </si>
  <si>
    <t>CEPCA</t>
  </si>
  <si>
    <t>FONDJA Chantal Alise</t>
  </si>
  <si>
    <t>(Cotisation faite en Juin 20 000 MOMO et 20 000 en Paroisse)</t>
  </si>
  <si>
    <t>SOLDE CUMULE = Solde d'ouverture + Solde de la période</t>
  </si>
  <si>
    <t>Renflouement caisse</t>
  </si>
  <si>
    <t>(Obsèques KWEDOU Epse DJOUFACK Paulette Dorine)</t>
  </si>
  <si>
    <t>JANTEN TCHAGNA Chrispin</t>
  </si>
  <si>
    <t>(Contribution faite en Juin. On a affecté 5000 au CEPCA &amp; 30 000 à ses mensuelles)</t>
  </si>
  <si>
    <r>
      <t xml:space="preserve">Renfflouement caisse : </t>
    </r>
    <r>
      <rPr>
        <b/>
        <i/>
        <sz val="11"/>
        <color theme="1"/>
        <rFont val="Calibri"/>
        <family val="2"/>
        <scheme val="minor"/>
      </rPr>
      <t>10 000</t>
    </r>
    <r>
      <rPr>
        <sz val="11"/>
        <color theme="1"/>
        <rFont val="Calibri"/>
        <family val="2"/>
        <scheme val="minor"/>
      </rPr>
      <t xml:space="preserve">  =  Obsèques KWEDOU Epse DJOUFACK Paulette Dorine</t>
    </r>
  </si>
  <si>
    <r>
      <t>(Contribution faite en Janvier dans la rubrique "</t>
    </r>
    <r>
      <rPr>
        <b/>
        <sz val="11"/>
        <color theme="1"/>
        <rFont val="Calibri"/>
        <family val="2"/>
        <scheme val="minor"/>
      </rPr>
      <t>Autres</t>
    </r>
    <r>
      <rPr>
        <sz val="11"/>
        <color theme="1"/>
        <rFont val="Calibri"/>
        <family val="2"/>
        <scheme val="minor"/>
      </rPr>
      <t>")</t>
    </r>
  </si>
  <si>
    <t>NOYOU Jacques</t>
  </si>
  <si>
    <t>NTOUMBA MPAY Lisette</t>
  </si>
  <si>
    <t>KOUECHEU CHEKEP Charlotte</t>
  </si>
  <si>
    <t>(Contribution faite en Paroisse le même jour en Janvier ; 20 000 &amp; 30 000)</t>
  </si>
  <si>
    <t>(Contribution faite en Paroisse le même jour en Mars ; 50 000 &amp; 100 000)</t>
  </si>
  <si>
    <t>COTISATIONS ECHUES  =  Somme des mensualités + Renflouement caisse</t>
  </si>
  <si>
    <t>SOLDE DE LA PERIODE =  Cotisations de la période - Cotisations échues</t>
  </si>
  <si>
    <t>Cotisations Aout</t>
  </si>
  <si>
    <t>Cotisations Septembre</t>
  </si>
  <si>
    <t>Cotisations Octobre</t>
  </si>
  <si>
    <t>COTISATIONS MENSUELLES (LISTE 1) AU 05/10/2025</t>
  </si>
  <si>
    <t>COTISATIONS MENSUELLES (LISTE 2) AU 05/10/2025</t>
  </si>
  <si>
    <t>Cotisations Août</t>
  </si>
  <si>
    <t>DZONTEU Moïse</t>
  </si>
  <si>
    <t>70 000</t>
  </si>
  <si>
    <t>(Tenue)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</si>
</sst>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u/>
      <sz val="14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2"/>
      <name val="Calibri"/>
      <family val="2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theme="2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54">
    <xf numFmtId="0" fontId="0" fillId="0" borderId="0" xfId="0"/>
    <xf numFmtId="0" fontId="0" fillId="0" borderId="0" xfId="0"/>
    <xf numFmtId="0" fontId="6" fillId="0" borderId="0" xfId="1" applyFont="1" applyAlignment="1">
      <alignment horizontal="left" vertical="top" wrapText="1"/>
    </xf>
    <xf numFmtId="0" fontId="5" fillId="0" borderId="0" xfId="1" applyFont="1" applyAlignment="1">
      <alignment horizontal="right" wrapText="1"/>
    </xf>
    <xf numFmtId="0" fontId="6" fillId="0" borderId="0" xfId="1" applyFont="1" applyAlignment="1">
      <alignment vertical="top"/>
    </xf>
    <xf numFmtId="0" fontId="2" fillId="0" borderId="0" xfId="1" applyFont="1" applyAlignment="1">
      <alignment vertical="top"/>
    </xf>
    <xf numFmtId="0" fontId="3" fillId="0" borderId="0" xfId="1" applyFont="1" applyAlignment="1">
      <alignment vertical="top"/>
    </xf>
    <xf numFmtId="0" fontId="8" fillId="0" borderId="1" xfId="1" applyFont="1" applyBorder="1" applyAlignment="1">
      <alignment horizontal="left" vertical="top"/>
    </xf>
    <xf numFmtId="1" fontId="7" fillId="0" borderId="1" xfId="1" applyNumberFormat="1" applyFont="1" applyBorder="1" applyAlignment="1">
      <alignment horizontal="right" shrinkToFit="1"/>
    </xf>
    <xf numFmtId="0" fontId="8" fillId="0" borderId="1" xfId="1" applyFont="1" applyBorder="1" applyAlignment="1">
      <alignment horizontal="left" vertical="top" wrapText="1"/>
    </xf>
    <xf numFmtId="3" fontId="8" fillId="0" borderId="1" xfId="1" applyNumberFormat="1" applyFont="1" applyBorder="1" applyAlignment="1">
      <alignment horizontal="right" wrapText="1"/>
    </xf>
    <xf numFmtId="3" fontId="4" fillId="0" borderId="0" xfId="1" applyNumberFormat="1" applyFont="1" applyAlignment="1">
      <alignment horizontal="center" vertical="top"/>
    </xf>
    <xf numFmtId="3" fontId="8" fillId="0" borderId="1" xfId="1" applyNumberFormat="1" applyFont="1" applyBorder="1" applyAlignment="1">
      <alignment horizontal="right"/>
    </xf>
    <xf numFmtId="0" fontId="2" fillId="0" borderId="4" xfId="1" applyFont="1" applyBorder="1" applyAlignment="1">
      <alignment vertical="top"/>
    </xf>
    <xf numFmtId="0" fontId="3" fillId="0" borderId="4" xfId="1" applyFont="1" applyBorder="1" applyAlignment="1">
      <alignment vertical="top"/>
    </xf>
    <xf numFmtId="3" fontId="6" fillId="0" borderId="0" xfId="1" applyNumberFormat="1" applyFont="1" applyAlignment="1">
      <alignment vertical="top"/>
    </xf>
    <xf numFmtId="3" fontId="6" fillId="0" borderId="0" xfId="1" applyNumberFormat="1" applyFont="1" applyAlignment="1">
      <alignment horizontal="left" vertical="top" wrapText="1"/>
    </xf>
    <xf numFmtId="3" fontId="3" fillId="0" borderId="0" xfId="1" applyNumberFormat="1" applyFont="1" applyAlignment="1">
      <alignment vertical="top"/>
    </xf>
    <xf numFmtId="3" fontId="3" fillId="0" borderId="4" xfId="1" applyNumberFormat="1" applyFont="1" applyBorder="1" applyAlignment="1">
      <alignment vertical="top"/>
    </xf>
    <xf numFmtId="3" fontId="8" fillId="0" borderId="1" xfId="1" applyNumberFormat="1" applyFont="1" applyBorder="1" applyAlignment="1">
      <alignment horizontal="right" vertical="top"/>
    </xf>
    <xf numFmtId="3" fontId="8" fillId="0" borderId="1" xfId="1" applyNumberFormat="1" applyFont="1" applyBorder="1" applyAlignment="1">
      <alignment horizontal="right" vertical="top" wrapText="1"/>
    </xf>
    <xf numFmtId="3" fontId="8" fillId="0" borderId="1" xfId="1" applyNumberFormat="1" applyFont="1" applyFill="1" applyBorder="1" applyAlignment="1">
      <alignment horizontal="right" wrapText="1"/>
    </xf>
    <xf numFmtId="0" fontId="3" fillId="0" borderId="1" xfId="1" applyFont="1" applyBorder="1"/>
    <xf numFmtId="0" fontId="0" fillId="0" borderId="0" xfId="0"/>
    <xf numFmtId="3" fontId="8" fillId="0" borderId="1" xfId="1" applyNumberFormat="1" applyFont="1" applyBorder="1" applyAlignment="1">
      <alignment horizontal="right" wrapText="1"/>
    </xf>
    <xf numFmtId="3" fontId="8" fillId="0" borderId="1" xfId="1" applyNumberFormat="1" applyFont="1" applyBorder="1" applyAlignment="1">
      <alignment horizontal="right"/>
    </xf>
    <xf numFmtId="3" fontId="3" fillId="0" borderId="1" xfId="1" applyNumberFormat="1" applyFont="1" applyBorder="1" applyAlignment="1">
      <alignment horizontal="center"/>
    </xf>
    <xf numFmtId="3" fontId="3" fillId="0" borderId="1" xfId="1" applyNumberFormat="1" applyFont="1" applyBorder="1"/>
    <xf numFmtId="0" fontId="5" fillId="0" borderId="0" xfId="1" applyFont="1" applyFill="1" applyBorder="1" applyAlignment="1">
      <alignment horizontal="left" vertical="top"/>
    </xf>
    <xf numFmtId="3" fontId="0" fillId="0" borderId="0" xfId="0" applyNumberFormat="1"/>
    <xf numFmtId="3" fontId="0" fillId="0" borderId="0" xfId="0" applyNumberFormat="1" applyAlignment="1">
      <alignment horizontal="left"/>
    </xf>
    <xf numFmtId="3" fontId="0" fillId="0" borderId="1" xfId="0" applyNumberFormat="1" applyBorder="1"/>
    <xf numFmtId="0" fontId="8" fillId="0" borderId="0" xfId="1" applyFont="1" applyBorder="1" applyAlignment="1">
      <alignment horizontal="left" vertical="top"/>
    </xf>
    <xf numFmtId="0" fontId="9" fillId="0" borderId="0" xfId="0" applyFont="1"/>
    <xf numFmtId="3" fontId="8" fillId="0" borderId="0" xfId="1" applyNumberFormat="1" applyFont="1" applyBorder="1" applyAlignment="1">
      <alignment horizontal="right" wrapText="1"/>
    </xf>
    <xf numFmtId="0" fontId="0" fillId="0" borderId="0" xfId="0" applyBorder="1"/>
    <xf numFmtId="0" fontId="11" fillId="0" borderId="0" xfId="0" applyFont="1"/>
    <xf numFmtId="3" fontId="12" fillId="0" borderId="1" xfId="1" applyNumberFormat="1" applyFont="1" applyFill="1" applyBorder="1" applyAlignment="1">
      <alignment horizontal="right" wrapText="1"/>
    </xf>
    <xf numFmtId="0" fontId="0" fillId="0" borderId="0" xfId="0" applyFill="1" applyBorder="1"/>
    <xf numFmtId="0" fontId="8" fillId="0" borderId="1" xfId="1" applyFont="1" applyFill="1" applyBorder="1" applyAlignment="1">
      <alignment horizontal="center" vertical="center"/>
    </xf>
    <xf numFmtId="3" fontId="12" fillId="0" borderId="1" xfId="1" applyNumberFormat="1" applyFont="1" applyFill="1" applyBorder="1" applyAlignment="1">
      <alignment horizontal="right" vertical="top"/>
    </xf>
    <xf numFmtId="3" fontId="0" fillId="0" borderId="1" xfId="0" applyNumberFormat="1" applyFill="1" applyBorder="1"/>
    <xf numFmtId="3" fontId="12" fillId="0" borderId="5" xfId="1" applyNumberFormat="1" applyFont="1" applyFill="1" applyBorder="1" applyAlignment="1">
      <alignment horizontal="right" wrapText="1"/>
    </xf>
    <xf numFmtId="0" fontId="11" fillId="0" borderId="0" xfId="1" applyFont="1" applyBorder="1" applyAlignment="1">
      <alignment horizontal="left" vertical="top"/>
    </xf>
    <xf numFmtId="3" fontId="0" fillId="0" borderId="0" xfId="0" applyNumberFormat="1" applyAlignment="1">
      <alignment horizontal="right"/>
    </xf>
    <xf numFmtId="3" fontId="5" fillId="2" borderId="2" xfId="1" applyNumberFormat="1" applyFont="1" applyFill="1" applyBorder="1" applyAlignment="1">
      <alignment horizontal="center" vertical="center" wrapText="1"/>
    </xf>
    <xf numFmtId="3" fontId="5" fillId="2" borderId="3" xfId="1" applyNumberFormat="1" applyFont="1" applyFill="1" applyBorder="1" applyAlignment="1">
      <alignment horizontal="center" vertical="center" wrapText="1"/>
    </xf>
    <xf numFmtId="3" fontId="5" fillId="2" borderId="1" xfId="1" applyNumberFormat="1" applyFont="1" applyFill="1" applyBorder="1" applyAlignment="1">
      <alignment horizontal="center" vertical="center" wrapText="1"/>
    </xf>
    <xf numFmtId="3" fontId="10" fillId="3" borderId="1" xfId="0" applyNumberFormat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/>
    </xf>
    <xf numFmtId="0" fontId="5" fillId="2" borderId="1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148"/>
  <sheetViews>
    <sheetView tabSelected="1" zoomScale="78" zoomScaleNormal="78" workbookViewId="0">
      <selection activeCell="E26" sqref="E26"/>
    </sheetView>
  </sheetViews>
  <sheetFormatPr baseColWidth="10" defaultRowHeight="14.4" x14ac:dyDescent="0.3"/>
  <cols>
    <col min="1" max="1" width="5" customWidth="1"/>
    <col min="2" max="2" width="52.6640625" bestFit="1" customWidth="1"/>
    <col min="3" max="3" width="13.88671875" style="29" customWidth="1"/>
    <col min="11" max="13" width="11.5546875" style="23"/>
    <col min="14" max="14" width="14.77734375" style="23" customWidth="1"/>
    <col min="15" max="15" width="13.6640625" customWidth="1"/>
    <col min="16" max="16" width="13.88671875" customWidth="1"/>
    <col min="17" max="17" width="13" customWidth="1"/>
    <col min="18" max="18" width="13.77734375" customWidth="1"/>
    <col min="19" max="19" width="11.5546875" style="29"/>
  </cols>
  <sheetData>
    <row r="1" spans="1:20" ht="18" x14ac:dyDescent="0.3">
      <c r="A1" s="4" t="s">
        <v>0</v>
      </c>
      <c r="B1" s="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O1" s="1"/>
      <c r="P1" s="1"/>
      <c r="Q1" s="1"/>
      <c r="R1" s="1"/>
    </row>
    <row r="2" spans="1:20" ht="18" x14ac:dyDescent="0.3">
      <c r="A2" s="4" t="s">
        <v>1</v>
      </c>
      <c r="B2" s="4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O2" s="1"/>
      <c r="P2" s="1"/>
      <c r="Q2" s="1"/>
      <c r="R2" s="1"/>
    </row>
    <row r="3" spans="1:20" ht="18" x14ac:dyDescent="0.3">
      <c r="A3" s="3"/>
      <c r="B3" s="2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O3" s="1"/>
      <c r="P3" s="1"/>
      <c r="Q3" s="1"/>
      <c r="R3" s="1"/>
    </row>
    <row r="4" spans="1:20" ht="23.4" customHeight="1" x14ac:dyDescent="0.3">
      <c r="A4" s="5" t="s">
        <v>158</v>
      </c>
      <c r="B4" s="6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O4" s="1"/>
      <c r="P4" s="1"/>
      <c r="Q4" s="1"/>
      <c r="R4" s="1"/>
    </row>
    <row r="5" spans="1:20" ht="15.6" customHeight="1" x14ac:dyDescent="0.3">
      <c r="A5" s="51" t="s">
        <v>2</v>
      </c>
      <c r="B5" s="53" t="s">
        <v>3</v>
      </c>
      <c r="C5" s="47" t="s">
        <v>137</v>
      </c>
      <c r="D5" s="47" t="s">
        <v>4</v>
      </c>
      <c r="E5" s="47" t="s">
        <v>5</v>
      </c>
      <c r="F5" s="45" t="s">
        <v>6</v>
      </c>
      <c r="G5" s="45" t="s">
        <v>7</v>
      </c>
      <c r="H5" s="45" t="s">
        <v>8</v>
      </c>
      <c r="I5" s="45" t="s">
        <v>9</v>
      </c>
      <c r="J5" s="45" t="s">
        <v>10</v>
      </c>
      <c r="K5" s="45" t="s">
        <v>155</v>
      </c>
      <c r="L5" s="45" t="s">
        <v>156</v>
      </c>
      <c r="M5" s="45" t="s">
        <v>157</v>
      </c>
      <c r="N5" s="45" t="s">
        <v>142</v>
      </c>
      <c r="O5" s="47" t="s">
        <v>11</v>
      </c>
      <c r="P5" s="47" t="s">
        <v>12</v>
      </c>
      <c r="Q5" s="47" t="s">
        <v>13</v>
      </c>
      <c r="R5" s="47" t="s">
        <v>14</v>
      </c>
      <c r="S5" s="48" t="s">
        <v>138</v>
      </c>
    </row>
    <row r="6" spans="1:20" ht="14.4" customHeight="1" x14ac:dyDescent="0.3">
      <c r="A6" s="52"/>
      <c r="B6" s="53"/>
      <c r="C6" s="47"/>
      <c r="D6" s="47"/>
      <c r="E6" s="47"/>
      <c r="F6" s="46"/>
      <c r="G6" s="46"/>
      <c r="H6" s="46"/>
      <c r="I6" s="46"/>
      <c r="J6" s="46"/>
      <c r="K6" s="46"/>
      <c r="L6" s="46"/>
      <c r="M6" s="46"/>
      <c r="N6" s="46"/>
      <c r="O6" s="47"/>
      <c r="P6" s="47"/>
      <c r="Q6" s="47"/>
      <c r="R6" s="47"/>
      <c r="S6" s="48"/>
    </row>
    <row r="7" spans="1:20" ht="15.6" x14ac:dyDescent="0.3">
      <c r="A7" s="8">
        <v>1</v>
      </c>
      <c r="B7" s="7" t="s">
        <v>15</v>
      </c>
      <c r="C7" s="37">
        <v>-20000</v>
      </c>
      <c r="D7" s="37"/>
      <c r="E7" s="37"/>
      <c r="F7" s="37">
        <v>30000</v>
      </c>
      <c r="G7" s="37"/>
      <c r="H7" s="10"/>
      <c r="I7" s="10"/>
      <c r="J7" s="10"/>
      <c r="K7" s="24"/>
      <c r="L7" s="24"/>
      <c r="M7" s="24"/>
      <c r="N7" s="24">
        <v>10000</v>
      </c>
      <c r="O7" s="10">
        <f>10000*10+N7</f>
        <v>110000</v>
      </c>
      <c r="P7" s="10">
        <f>+D7+E7+F7+G7+H7+I7+J7+K7+L7+M7</f>
        <v>30000</v>
      </c>
      <c r="Q7" s="12">
        <f>+P7-O7</f>
        <v>-80000</v>
      </c>
      <c r="R7" s="24">
        <f>+Q7+C7</f>
        <v>-100000</v>
      </c>
      <c r="S7" s="31"/>
      <c r="T7" s="34"/>
    </row>
    <row r="8" spans="1:20" ht="15.6" x14ac:dyDescent="0.3">
      <c r="A8" s="8">
        <v>2</v>
      </c>
      <c r="B8" s="7" t="s">
        <v>16</v>
      </c>
      <c r="C8" s="37">
        <v>-36500</v>
      </c>
      <c r="D8" s="37"/>
      <c r="E8" s="37"/>
      <c r="F8" s="37"/>
      <c r="G8" s="37">
        <v>50000</v>
      </c>
      <c r="H8" s="10"/>
      <c r="I8" s="10"/>
      <c r="J8" s="10"/>
      <c r="K8" s="24"/>
      <c r="L8" s="24"/>
      <c r="M8" s="24"/>
      <c r="N8" s="24">
        <v>10000</v>
      </c>
      <c r="O8" s="24">
        <f t="shared" ref="O8:O71" si="0">10000*10+N8</f>
        <v>110000</v>
      </c>
      <c r="P8" s="24">
        <f t="shared" ref="P8:P71" si="1">+D8+E8+F8+G8+H8+I8+J8+K8+L8+M8</f>
        <v>50000</v>
      </c>
      <c r="Q8" s="25">
        <f t="shared" ref="Q8:Q38" si="2">+P8-O8</f>
        <v>-60000</v>
      </c>
      <c r="R8" s="24">
        <f t="shared" ref="R8:R38" si="3">+Q8+C8</f>
        <v>-96500</v>
      </c>
      <c r="S8" s="31"/>
      <c r="T8" s="34"/>
    </row>
    <row r="9" spans="1:20" ht="15.6" x14ac:dyDescent="0.3">
      <c r="A9" s="8">
        <v>3</v>
      </c>
      <c r="B9" s="7" t="s">
        <v>17</v>
      </c>
      <c r="C9" s="37">
        <v>21000</v>
      </c>
      <c r="D9" s="37">
        <v>20000</v>
      </c>
      <c r="E9" s="37"/>
      <c r="F9" s="37">
        <v>20000</v>
      </c>
      <c r="G9" s="37">
        <v>20000</v>
      </c>
      <c r="H9" s="10">
        <v>10000</v>
      </c>
      <c r="I9" s="10"/>
      <c r="J9" s="10">
        <v>10000</v>
      </c>
      <c r="K9" s="24"/>
      <c r="L9" s="24">
        <v>20000</v>
      </c>
      <c r="M9" s="24"/>
      <c r="N9" s="24">
        <v>10000</v>
      </c>
      <c r="O9" s="24">
        <f t="shared" si="0"/>
        <v>110000</v>
      </c>
      <c r="P9" s="24">
        <f t="shared" si="1"/>
        <v>100000</v>
      </c>
      <c r="Q9" s="25">
        <f t="shared" si="2"/>
        <v>-10000</v>
      </c>
      <c r="R9" s="24">
        <f t="shared" si="3"/>
        <v>11000</v>
      </c>
      <c r="S9" s="31">
        <v>5000</v>
      </c>
      <c r="T9" s="34"/>
    </row>
    <row r="10" spans="1:20" ht="15.6" x14ac:dyDescent="0.3">
      <c r="A10" s="8">
        <v>4</v>
      </c>
      <c r="B10" s="7" t="s">
        <v>19</v>
      </c>
      <c r="C10" s="37">
        <v>-137000</v>
      </c>
      <c r="D10" s="40"/>
      <c r="E10" s="40"/>
      <c r="F10" s="40"/>
      <c r="G10" s="40"/>
      <c r="H10" s="10"/>
      <c r="I10" s="10"/>
      <c r="J10" s="10"/>
      <c r="K10" s="24"/>
      <c r="L10" s="24"/>
      <c r="M10" s="24"/>
      <c r="N10" s="24">
        <v>10000</v>
      </c>
      <c r="O10" s="24">
        <f t="shared" si="0"/>
        <v>110000</v>
      </c>
      <c r="P10" s="24">
        <f t="shared" si="1"/>
        <v>0</v>
      </c>
      <c r="Q10" s="25">
        <f t="shared" si="2"/>
        <v>-110000</v>
      </c>
      <c r="R10" s="24">
        <f t="shared" si="3"/>
        <v>-247000</v>
      </c>
      <c r="S10" s="31"/>
      <c r="T10" s="34"/>
    </row>
    <row r="11" spans="1:20" ht="15.6" x14ac:dyDescent="0.3">
      <c r="A11" s="8">
        <v>5</v>
      </c>
      <c r="B11" s="7" t="s">
        <v>20</v>
      </c>
      <c r="C11" s="37">
        <v>-61000</v>
      </c>
      <c r="D11" s="24"/>
      <c r="E11" s="24"/>
      <c r="F11" s="24"/>
      <c r="G11" s="37">
        <v>20000</v>
      </c>
      <c r="H11" s="10">
        <v>15000</v>
      </c>
      <c r="I11" s="10"/>
      <c r="J11" s="10"/>
      <c r="K11" s="24"/>
      <c r="L11" s="24"/>
      <c r="M11" s="24"/>
      <c r="N11" s="24">
        <v>10000</v>
      </c>
      <c r="O11" s="24">
        <f t="shared" si="0"/>
        <v>110000</v>
      </c>
      <c r="P11" s="24">
        <f t="shared" si="1"/>
        <v>35000</v>
      </c>
      <c r="Q11" s="25">
        <f t="shared" si="2"/>
        <v>-75000</v>
      </c>
      <c r="R11" s="24">
        <f t="shared" si="3"/>
        <v>-136000</v>
      </c>
      <c r="S11" s="31">
        <v>5000</v>
      </c>
      <c r="T11" s="34"/>
    </row>
    <row r="12" spans="1:20" ht="15.6" x14ac:dyDescent="0.3">
      <c r="A12" s="8">
        <v>6</v>
      </c>
      <c r="B12" s="7" t="s">
        <v>21</v>
      </c>
      <c r="C12" s="37">
        <v>-41000</v>
      </c>
      <c r="D12" s="24"/>
      <c r="E12" s="24"/>
      <c r="F12" s="24"/>
      <c r="H12" s="10"/>
      <c r="I12" s="10"/>
      <c r="J12" s="10"/>
      <c r="K12" s="24"/>
      <c r="L12" s="24"/>
      <c r="M12" s="24"/>
      <c r="N12" s="24">
        <v>10000</v>
      </c>
      <c r="O12" s="24">
        <f t="shared" si="0"/>
        <v>110000</v>
      </c>
      <c r="P12" s="24">
        <f t="shared" si="1"/>
        <v>0</v>
      </c>
      <c r="Q12" s="25">
        <f t="shared" si="2"/>
        <v>-110000</v>
      </c>
      <c r="R12" s="24">
        <f t="shared" si="3"/>
        <v>-151000</v>
      </c>
      <c r="S12" s="31"/>
      <c r="T12" s="34"/>
    </row>
    <row r="13" spans="1:20" ht="15.6" x14ac:dyDescent="0.3">
      <c r="A13" s="8">
        <v>7</v>
      </c>
      <c r="B13" s="7" t="s">
        <v>22</v>
      </c>
      <c r="C13" s="37">
        <v>-13000</v>
      </c>
      <c r="D13" s="24"/>
      <c r="E13" s="24"/>
      <c r="F13" s="24"/>
      <c r="G13" s="10">
        <v>50000</v>
      </c>
      <c r="I13" s="10"/>
      <c r="J13" s="10"/>
      <c r="K13" s="24">
        <v>83000</v>
      </c>
      <c r="L13" s="24"/>
      <c r="M13" s="24"/>
      <c r="N13" s="24">
        <v>10000</v>
      </c>
      <c r="O13" s="24">
        <f t="shared" si="0"/>
        <v>110000</v>
      </c>
      <c r="P13" s="24">
        <f t="shared" si="1"/>
        <v>133000</v>
      </c>
      <c r="Q13" s="25">
        <f t="shared" si="2"/>
        <v>23000</v>
      </c>
      <c r="R13" s="24">
        <f t="shared" si="3"/>
        <v>10000</v>
      </c>
      <c r="S13" s="31"/>
      <c r="T13" s="34"/>
    </row>
    <row r="14" spans="1:20" ht="15.6" x14ac:dyDescent="0.3">
      <c r="A14" s="8">
        <v>8</v>
      </c>
      <c r="B14" s="7" t="s">
        <v>23</v>
      </c>
      <c r="C14" s="37">
        <v>-12000</v>
      </c>
      <c r="D14" s="24"/>
      <c r="E14" s="24">
        <v>10000</v>
      </c>
      <c r="F14" s="24">
        <v>20000</v>
      </c>
      <c r="G14" s="37"/>
      <c r="H14" s="10">
        <v>35000</v>
      </c>
      <c r="I14" s="10"/>
      <c r="J14" s="10"/>
      <c r="K14" s="24">
        <v>20000</v>
      </c>
      <c r="L14" s="24"/>
      <c r="M14" s="24"/>
      <c r="N14" s="24">
        <v>10000</v>
      </c>
      <c r="O14" s="24">
        <f t="shared" si="0"/>
        <v>110000</v>
      </c>
      <c r="P14" s="24">
        <f t="shared" si="1"/>
        <v>85000</v>
      </c>
      <c r="Q14" s="25">
        <f t="shared" si="2"/>
        <v>-25000</v>
      </c>
      <c r="R14" s="24">
        <f t="shared" si="3"/>
        <v>-37000</v>
      </c>
      <c r="S14" s="31">
        <v>5000</v>
      </c>
      <c r="T14" s="34"/>
    </row>
    <row r="15" spans="1:20" ht="15.6" x14ac:dyDescent="0.3">
      <c r="A15" s="8">
        <v>9</v>
      </c>
      <c r="B15" s="7" t="s">
        <v>24</v>
      </c>
      <c r="C15" s="37">
        <v>-175500</v>
      </c>
      <c r="D15" s="24"/>
      <c r="E15" s="24"/>
      <c r="F15" s="24"/>
      <c r="G15" s="37"/>
      <c r="H15" s="10"/>
      <c r="I15" s="10"/>
      <c r="J15" s="10"/>
      <c r="K15" s="24"/>
      <c r="L15" s="24"/>
      <c r="M15" s="24"/>
      <c r="N15" s="24">
        <v>10000</v>
      </c>
      <c r="O15" s="24">
        <f t="shared" si="0"/>
        <v>110000</v>
      </c>
      <c r="P15" s="24">
        <f t="shared" si="1"/>
        <v>0</v>
      </c>
      <c r="Q15" s="25">
        <f t="shared" si="2"/>
        <v>-110000</v>
      </c>
      <c r="R15" s="24">
        <f t="shared" si="3"/>
        <v>-285500</v>
      </c>
      <c r="S15" s="31"/>
      <c r="T15" s="34"/>
    </row>
    <row r="16" spans="1:20" ht="15.6" x14ac:dyDescent="0.3">
      <c r="A16" s="8">
        <v>10</v>
      </c>
      <c r="B16" s="7" t="s">
        <v>25</v>
      </c>
      <c r="C16" s="37">
        <v>10000</v>
      </c>
      <c r="D16" s="24"/>
      <c r="E16" s="24"/>
      <c r="F16" s="24">
        <v>60000</v>
      </c>
      <c r="G16" s="37"/>
      <c r="H16" s="10"/>
      <c r="I16" s="10"/>
      <c r="J16" s="10"/>
      <c r="K16" s="24"/>
      <c r="L16" s="24"/>
      <c r="M16" s="24"/>
      <c r="N16" s="24">
        <v>10000</v>
      </c>
      <c r="O16" s="24">
        <f t="shared" si="0"/>
        <v>110000</v>
      </c>
      <c r="P16" s="24">
        <f t="shared" si="1"/>
        <v>60000</v>
      </c>
      <c r="Q16" s="25">
        <f t="shared" si="2"/>
        <v>-50000</v>
      </c>
      <c r="R16" s="24">
        <f t="shared" si="3"/>
        <v>-40000</v>
      </c>
      <c r="S16" s="31"/>
      <c r="T16" s="34"/>
    </row>
    <row r="17" spans="1:20" ht="15.6" x14ac:dyDescent="0.3">
      <c r="A17" s="8">
        <v>11</v>
      </c>
      <c r="B17" s="7" t="s">
        <v>26</v>
      </c>
      <c r="C17" s="37">
        <v>-112000</v>
      </c>
      <c r="D17" s="24"/>
      <c r="E17" s="24"/>
      <c r="F17" s="24"/>
      <c r="G17" s="37"/>
      <c r="H17" s="10"/>
      <c r="I17" s="10"/>
      <c r="J17" s="10"/>
      <c r="K17" s="24"/>
      <c r="L17" s="24"/>
      <c r="M17" s="24">
        <v>30000</v>
      </c>
      <c r="N17" s="24">
        <v>10000</v>
      </c>
      <c r="O17" s="24">
        <f t="shared" si="0"/>
        <v>110000</v>
      </c>
      <c r="P17" s="24">
        <f t="shared" si="1"/>
        <v>30000</v>
      </c>
      <c r="Q17" s="25">
        <f t="shared" si="2"/>
        <v>-80000</v>
      </c>
      <c r="R17" s="24">
        <f t="shared" si="3"/>
        <v>-192000</v>
      </c>
      <c r="S17" s="31"/>
      <c r="T17" s="34"/>
    </row>
    <row r="18" spans="1:20" ht="15.6" x14ac:dyDescent="0.3">
      <c r="A18" s="8">
        <v>12</v>
      </c>
      <c r="B18" s="7" t="s">
        <v>27</v>
      </c>
      <c r="C18" s="37">
        <v>9000</v>
      </c>
      <c r="D18" s="24"/>
      <c r="E18" s="24"/>
      <c r="F18" s="24"/>
      <c r="G18" s="37"/>
      <c r="H18" s="10"/>
      <c r="I18" s="10"/>
      <c r="J18" s="10"/>
      <c r="K18" s="24"/>
      <c r="L18" s="24"/>
      <c r="M18" s="24"/>
      <c r="N18" s="24">
        <v>10000</v>
      </c>
      <c r="O18" s="24">
        <f t="shared" si="0"/>
        <v>110000</v>
      </c>
      <c r="P18" s="24">
        <f t="shared" si="1"/>
        <v>0</v>
      </c>
      <c r="Q18" s="25">
        <f t="shared" si="2"/>
        <v>-110000</v>
      </c>
      <c r="R18" s="24">
        <f t="shared" si="3"/>
        <v>-101000</v>
      </c>
      <c r="S18" s="31"/>
      <c r="T18" s="34"/>
    </row>
    <row r="19" spans="1:20" ht="15.6" x14ac:dyDescent="0.3">
      <c r="A19" s="8">
        <v>13</v>
      </c>
      <c r="B19" s="7" t="s">
        <v>28</v>
      </c>
      <c r="C19" s="37">
        <v>-72000</v>
      </c>
      <c r="D19" s="24"/>
      <c r="E19" s="24"/>
      <c r="F19" s="24"/>
      <c r="G19" s="37"/>
      <c r="H19" s="10"/>
      <c r="I19" s="10"/>
      <c r="J19" s="10"/>
      <c r="K19" s="24"/>
      <c r="L19" s="24"/>
      <c r="M19" s="24"/>
      <c r="N19" s="24">
        <v>10000</v>
      </c>
      <c r="O19" s="24">
        <f t="shared" si="0"/>
        <v>110000</v>
      </c>
      <c r="P19" s="24">
        <f t="shared" si="1"/>
        <v>0</v>
      </c>
      <c r="Q19" s="25">
        <f t="shared" si="2"/>
        <v>-110000</v>
      </c>
      <c r="R19" s="24">
        <f t="shared" si="3"/>
        <v>-182000</v>
      </c>
      <c r="S19" s="31"/>
      <c r="T19" s="34"/>
    </row>
    <row r="20" spans="1:20" ht="15.6" x14ac:dyDescent="0.3">
      <c r="A20" s="8">
        <v>14</v>
      </c>
      <c r="B20" s="7" t="s">
        <v>29</v>
      </c>
      <c r="C20" s="37">
        <v>-41000</v>
      </c>
      <c r="D20" s="24"/>
      <c r="E20" s="24"/>
      <c r="F20" s="24"/>
      <c r="G20" s="37"/>
      <c r="H20" s="10">
        <v>100000</v>
      </c>
      <c r="I20" s="10"/>
      <c r="J20" s="10"/>
      <c r="K20" s="24"/>
      <c r="L20" s="24"/>
      <c r="M20" s="24"/>
      <c r="N20" s="24">
        <v>10000</v>
      </c>
      <c r="O20" s="24">
        <f t="shared" si="0"/>
        <v>110000</v>
      </c>
      <c r="P20" s="24">
        <f t="shared" si="1"/>
        <v>100000</v>
      </c>
      <c r="Q20" s="25">
        <f t="shared" si="2"/>
        <v>-10000</v>
      </c>
      <c r="R20" s="24">
        <f t="shared" si="3"/>
        <v>-51000</v>
      </c>
      <c r="S20" s="31"/>
      <c r="T20" s="34"/>
    </row>
    <row r="21" spans="1:20" ht="15.6" x14ac:dyDescent="0.3">
      <c r="A21" s="8">
        <v>15</v>
      </c>
      <c r="B21" s="7" t="s">
        <v>30</v>
      </c>
      <c r="C21" s="37">
        <v>-40000</v>
      </c>
      <c r="D21" s="24"/>
      <c r="E21" s="24">
        <v>20000</v>
      </c>
      <c r="F21" s="24"/>
      <c r="G21" s="37">
        <v>100000</v>
      </c>
      <c r="H21" s="10"/>
      <c r="I21" s="10"/>
      <c r="J21" s="10"/>
      <c r="K21" s="24"/>
      <c r="L21" s="24"/>
      <c r="M21" s="24"/>
      <c r="N21" s="24">
        <v>10000</v>
      </c>
      <c r="O21" s="24">
        <f t="shared" si="0"/>
        <v>110000</v>
      </c>
      <c r="P21" s="24">
        <f t="shared" si="1"/>
        <v>120000</v>
      </c>
      <c r="Q21" s="25">
        <f t="shared" si="2"/>
        <v>10000</v>
      </c>
      <c r="R21" s="24">
        <f t="shared" si="3"/>
        <v>-30000</v>
      </c>
      <c r="S21" s="31"/>
      <c r="T21" s="34"/>
    </row>
    <row r="22" spans="1:20" ht="15.6" x14ac:dyDescent="0.3">
      <c r="A22" s="8">
        <v>16</v>
      </c>
      <c r="B22" s="7" t="s">
        <v>31</v>
      </c>
      <c r="C22" s="37">
        <v>-172000</v>
      </c>
      <c r="D22" s="24"/>
      <c r="E22" s="24"/>
      <c r="F22" s="24"/>
      <c r="H22" s="10"/>
      <c r="I22" s="10"/>
      <c r="J22" s="10"/>
      <c r="K22" s="24"/>
      <c r="L22" s="24"/>
      <c r="M22" s="24"/>
      <c r="N22" s="24">
        <v>10000</v>
      </c>
      <c r="O22" s="24">
        <f t="shared" si="0"/>
        <v>110000</v>
      </c>
      <c r="P22" s="24">
        <f t="shared" si="1"/>
        <v>0</v>
      </c>
      <c r="Q22" s="25">
        <f t="shared" si="2"/>
        <v>-110000</v>
      </c>
      <c r="R22" s="24">
        <f t="shared" si="3"/>
        <v>-282000</v>
      </c>
      <c r="S22" s="31"/>
      <c r="T22" s="34"/>
    </row>
    <row r="23" spans="1:20" ht="15.6" x14ac:dyDescent="0.3">
      <c r="A23" s="8">
        <v>17</v>
      </c>
      <c r="B23" s="7" t="s">
        <v>32</v>
      </c>
      <c r="C23" s="37">
        <v>-86000</v>
      </c>
      <c r="D23" s="24"/>
      <c r="E23" s="24"/>
      <c r="F23" s="24"/>
      <c r="G23" s="37"/>
      <c r="H23" s="10"/>
      <c r="I23" s="10"/>
      <c r="J23" s="10"/>
      <c r="K23" s="24"/>
      <c r="L23" s="24"/>
      <c r="M23" s="24"/>
      <c r="N23" s="24">
        <v>10000</v>
      </c>
      <c r="O23" s="24">
        <f t="shared" si="0"/>
        <v>110000</v>
      </c>
      <c r="P23" s="24">
        <f t="shared" si="1"/>
        <v>0</v>
      </c>
      <c r="Q23" s="25">
        <f t="shared" si="2"/>
        <v>-110000</v>
      </c>
      <c r="R23" s="24">
        <f t="shared" si="3"/>
        <v>-196000</v>
      </c>
      <c r="S23" s="31"/>
      <c r="T23" s="34"/>
    </row>
    <row r="24" spans="1:20" ht="15.6" x14ac:dyDescent="0.3">
      <c r="A24" s="8">
        <v>18</v>
      </c>
      <c r="B24" s="7" t="s">
        <v>33</v>
      </c>
      <c r="C24" s="37">
        <v>-21000</v>
      </c>
      <c r="D24" s="24">
        <v>10000</v>
      </c>
      <c r="E24" s="24"/>
      <c r="F24" s="24"/>
      <c r="G24" s="37">
        <v>20000</v>
      </c>
      <c r="H24" s="10"/>
      <c r="I24" s="10">
        <f>20000+20000</f>
        <v>40000</v>
      </c>
      <c r="J24" s="10"/>
      <c r="K24" s="24"/>
      <c r="L24" s="24"/>
      <c r="M24" s="24"/>
      <c r="N24" s="24">
        <v>10000</v>
      </c>
      <c r="O24" s="24">
        <f t="shared" si="0"/>
        <v>110000</v>
      </c>
      <c r="P24" s="24">
        <f t="shared" si="1"/>
        <v>70000</v>
      </c>
      <c r="Q24" s="25">
        <f t="shared" si="2"/>
        <v>-40000</v>
      </c>
      <c r="R24" s="24">
        <f t="shared" si="3"/>
        <v>-61000</v>
      </c>
      <c r="S24" s="31"/>
      <c r="T24" s="34"/>
    </row>
    <row r="25" spans="1:20" ht="15.6" x14ac:dyDescent="0.3">
      <c r="A25" s="8">
        <v>19</v>
      </c>
      <c r="B25" s="7" t="s">
        <v>34</v>
      </c>
      <c r="C25" s="37">
        <v>-147000</v>
      </c>
      <c r="D25" s="24"/>
      <c r="E25" s="24"/>
      <c r="F25" s="24"/>
      <c r="G25" s="37"/>
      <c r="H25" s="10"/>
      <c r="I25" s="10"/>
      <c r="J25" s="10"/>
      <c r="K25" s="24"/>
      <c r="L25" s="24"/>
      <c r="M25" s="24"/>
      <c r="N25" s="24">
        <v>10000</v>
      </c>
      <c r="O25" s="24">
        <f t="shared" si="0"/>
        <v>110000</v>
      </c>
      <c r="P25" s="24">
        <f t="shared" si="1"/>
        <v>0</v>
      </c>
      <c r="Q25" s="25">
        <f t="shared" si="2"/>
        <v>-110000</v>
      </c>
      <c r="R25" s="24">
        <f t="shared" si="3"/>
        <v>-257000</v>
      </c>
      <c r="S25" s="31"/>
      <c r="T25" s="34"/>
    </row>
    <row r="26" spans="1:20" ht="15.6" x14ac:dyDescent="0.3">
      <c r="A26" s="8">
        <v>20</v>
      </c>
      <c r="B26" s="7" t="s">
        <v>35</v>
      </c>
      <c r="C26" s="37">
        <v>-41000</v>
      </c>
      <c r="D26" s="24"/>
      <c r="E26" s="24">
        <v>20000</v>
      </c>
      <c r="F26" s="24">
        <v>20000</v>
      </c>
      <c r="G26" s="37">
        <v>30000</v>
      </c>
      <c r="H26" s="10"/>
      <c r="I26" s="10"/>
      <c r="J26" s="10">
        <v>30000</v>
      </c>
      <c r="K26" s="24"/>
      <c r="L26" s="24"/>
      <c r="M26" s="24"/>
      <c r="N26" s="24">
        <v>10000</v>
      </c>
      <c r="O26" s="24">
        <f t="shared" si="0"/>
        <v>110000</v>
      </c>
      <c r="P26" s="24">
        <f t="shared" si="1"/>
        <v>100000</v>
      </c>
      <c r="Q26" s="25">
        <f t="shared" si="2"/>
        <v>-10000</v>
      </c>
      <c r="R26" s="24">
        <f t="shared" si="3"/>
        <v>-51000</v>
      </c>
      <c r="S26" s="31"/>
      <c r="T26" s="34"/>
    </row>
    <row r="27" spans="1:20" ht="15.6" x14ac:dyDescent="0.3">
      <c r="A27" s="8">
        <v>21</v>
      </c>
      <c r="B27" s="7" t="s">
        <v>36</v>
      </c>
      <c r="C27" s="37">
        <v>-20000</v>
      </c>
      <c r="D27" s="24"/>
      <c r="E27" s="24"/>
      <c r="F27" s="24"/>
      <c r="G27" s="37">
        <v>50000</v>
      </c>
      <c r="H27" s="10"/>
      <c r="I27" s="10"/>
      <c r="J27" s="10"/>
      <c r="K27" s="24"/>
      <c r="L27" s="24"/>
      <c r="M27" s="24"/>
      <c r="N27" s="24">
        <v>10000</v>
      </c>
      <c r="O27" s="24">
        <f t="shared" si="0"/>
        <v>110000</v>
      </c>
      <c r="P27" s="24">
        <f t="shared" si="1"/>
        <v>50000</v>
      </c>
      <c r="Q27" s="25">
        <f t="shared" si="2"/>
        <v>-60000</v>
      </c>
      <c r="R27" s="24">
        <f t="shared" si="3"/>
        <v>-80000</v>
      </c>
      <c r="S27" s="31"/>
      <c r="T27" s="34"/>
    </row>
    <row r="28" spans="1:20" ht="15.6" x14ac:dyDescent="0.3">
      <c r="A28" s="8">
        <v>22</v>
      </c>
      <c r="B28" s="7" t="s">
        <v>37</v>
      </c>
      <c r="C28" s="37">
        <v>-59000</v>
      </c>
      <c r="D28" s="24"/>
      <c r="E28" s="24"/>
      <c r="F28" s="24">
        <v>30000</v>
      </c>
      <c r="G28" s="37"/>
      <c r="H28" s="10"/>
      <c r="I28" s="10"/>
      <c r="J28" s="10"/>
      <c r="K28" s="24"/>
      <c r="L28" s="24"/>
      <c r="M28" s="24"/>
      <c r="N28" s="24">
        <v>10000</v>
      </c>
      <c r="O28" s="24">
        <f t="shared" si="0"/>
        <v>110000</v>
      </c>
      <c r="P28" s="24">
        <f t="shared" si="1"/>
        <v>30000</v>
      </c>
      <c r="Q28" s="25">
        <f t="shared" si="2"/>
        <v>-80000</v>
      </c>
      <c r="R28" s="24">
        <f t="shared" si="3"/>
        <v>-139000</v>
      </c>
      <c r="S28" s="31"/>
      <c r="T28" s="34"/>
    </row>
    <row r="29" spans="1:20" ht="15.6" x14ac:dyDescent="0.3">
      <c r="A29" s="8">
        <v>23</v>
      </c>
      <c r="B29" s="7" t="s">
        <v>38</v>
      </c>
      <c r="C29" s="37">
        <v>-41000</v>
      </c>
      <c r="D29" s="24"/>
      <c r="E29" s="24"/>
      <c r="F29" s="24">
        <v>20000</v>
      </c>
      <c r="G29" s="37"/>
      <c r="H29" s="10"/>
      <c r="I29" s="10"/>
      <c r="J29" s="10">
        <v>20000</v>
      </c>
      <c r="K29" s="24"/>
      <c r="L29" s="24"/>
      <c r="M29" s="24"/>
      <c r="N29" s="24">
        <v>10000</v>
      </c>
      <c r="O29" s="24">
        <f t="shared" si="0"/>
        <v>110000</v>
      </c>
      <c r="P29" s="24">
        <f t="shared" si="1"/>
        <v>40000</v>
      </c>
      <c r="Q29" s="25">
        <f t="shared" si="2"/>
        <v>-70000</v>
      </c>
      <c r="R29" s="24">
        <f t="shared" si="3"/>
        <v>-111000</v>
      </c>
      <c r="S29" s="31"/>
      <c r="T29" s="34"/>
    </row>
    <row r="30" spans="1:20" ht="15.6" x14ac:dyDescent="0.3">
      <c r="A30" s="8">
        <v>24</v>
      </c>
      <c r="B30" s="7" t="s">
        <v>39</v>
      </c>
      <c r="C30" s="37">
        <v>-95000</v>
      </c>
      <c r="D30" s="24"/>
      <c r="E30" s="24"/>
      <c r="F30" s="24"/>
      <c r="G30" s="37">
        <v>50000</v>
      </c>
      <c r="H30" s="10"/>
      <c r="I30" s="10">
        <f>20000+30000</f>
        <v>50000</v>
      </c>
      <c r="J30" s="10"/>
      <c r="K30" s="24"/>
      <c r="L30" s="24">
        <v>40000</v>
      </c>
      <c r="M30" s="24"/>
      <c r="N30" s="24">
        <v>10000</v>
      </c>
      <c r="O30" s="24">
        <f t="shared" si="0"/>
        <v>110000</v>
      </c>
      <c r="P30" s="24">
        <f t="shared" si="1"/>
        <v>140000</v>
      </c>
      <c r="Q30" s="25">
        <f t="shared" si="2"/>
        <v>30000</v>
      </c>
      <c r="R30" s="24">
        <f t="shared" si="3"/>
        <v>-65000</v>
      </c>
      <c r="S30" s="31">
        <v>5000</v>
      </c>
      <c r="T30" s="34"/>
    </row>
    <row r="31" spans="1:20" ht="15.6" x14ac:dyDescent="0.3">
      <c r="A31" s="8">
        <v>25</v>
      </c>
      <c r="B31" s="7" t="s">
        <v>40</v>
      </c>
      <c r="C31" s="37">
        <v>-9000</v>
      </c>
      <c r="D31" s="24"/>
      <c r="E31" s="24">
        <v>20000</v>
      </c>
      <c r="F31" s="24"/>
      <c r="H31" s="10"/>
      <c r="I31" s="10">
        <v>25000</v>
      </c>
      <c r="J31" s="10"/>
      <c r="K31" s="24">
        <v>20000</v>
      </c>
      <c r="L31" s="24"/>
      <c r="M31" s="24"/>
      <c r="N31" s="24">
        <v>10000</v>
      </c>
      <c r="O31" s="24">
        <f t="shared" si="0"/>
        <v>110000</v>
      </c>
      <c r="P31" s="24">
        <f t="shared" si="1"/>
        <v>65000</v>
      </c>
      <c r="Q31" s="25">
        <f t="shared" si="2"/>
        <v>-45000</v>
      </c>
      <c r="R31" s="24">
        <f t="shared" si="3"/>
        <v>-54000</v>
      </c>
      <c r="S31" s="31">
        <v>5000</v>
      </c>
      <c r="T31" s="34"/>
    </row>
    <row r="32" spans="1:20" ht="15.6" x14ac:dyDescent="0.3">
      <c r="A32" s="8">
        <v>26</v>
      </c>
      <c r="B32" s="7" t="s">
        <v>41</v>
      </c>
      <c r="C32" s="37">
        <v>-21000</v>
      </c>
      <c r="D32" s="24"/>
      <c r="E32" s="24"/>
      <c r="F32" s="24"/>
      <c r="G32" s="37"/>
      <c r="H32" s="10"/>
      <c r="I32" s="10">
        <v>120000</v>
      </c>
      <c r="J32" s="10"/>
      <c r="K32" s="24"/>
      <c r="L32" s="24"/>
      <c r="M32" s="24"/>
      <c r="N32" s="24">
        <v>10000</v>
      </c>
      <c r="O32" s="24">
        <f t="shared" si="0"/>
        <v>110000</v>
      </c>
      <c r="P32" s="24">
        <f t="shared" si="1"/>
        <v>120000</v>
      </c>
      <c r="Q32" s="25">
        <f t="shared" si="2"/>
        <v>10000</v>
      </c>
      <c r="R32" s="24">
        <f t="shared" si="3"/>
        <v>-11000</v>
      </c>
      <c r="S32" s="31"/>
      <c r="T32" s="34"/>
    </row>
    <row r="33" spans="1:20" ht="15.6" x14ac:dyDescent="0.3">
      <c r="A33" s="8">
        <v>27</v>
      </c>
      <c r="B33" s="7" t="s">
        <v>42</v>
      </c>
      <c r="C33" s="37">
        <v>-26000</v>
      </c>
      <c r="D33" s="24"/>
      <c r="E33" s="24"/>
      <c r="F33" s="24"/>
      <c r="G33" s="37"/>
      <c r="H33" s="10"/>
      <c r="I33" s="10"/>
      <c r="J33" s="10"/>
      <c r="K33" s="24"/>
      <c r="L33" s="24"/>
      <c r="M33" s="24"/>
      <c r="N33" s="24">
        <v>10000</v>
      </c>
      <c r="O33" s="24">
        <f t="shared" si="0"/>
        <v>110000</v>
      </c>
      <c r="P33" s="24">
        <f t="shared" si="1"/>
        <v>0</v>
      </c>
      <c r="Q33" s="25">
        <f t="shared" si="2"/>
        <v>-110000</v>
      </c>
      <c r="R33" s="24">
        <f t="shared" si="3"/>
        <v>-136000</v>
      </c>
      <c r="S33" s="31"/>
      <c r="T33" s="34"/>
    </row>
    <row r="34" spans="1:20" ht="15.6" x14ac:dyDescent="0.3">
      <c r="A34" s="8">
        <v>28</v>
      </c>
      <c r="B34" s="7" t="s">
        <v>43</v>
      </c>
      <c r="C34" s="37">
        <v>-7000</v>
      </c>
      <c r="D34" s="24"/>
      <c r="E34" s="24"/>
      <c r="F34" s="24"/>
      <c r="G34" s="37">
        <v>30000</v>
      </c>
      <c r="H34" s="10"/>
      <c r="J34" s="10">
        <v>50000</v>
      </c>
      <c r="K34" s="24"/>
      <c r="L34" s="24"/>
      <c r="M34" s="24"/>
      <c r="N34" s="24">
        <v>10000</v>
      </c>
      <c r="O34" s="24">
        <f t="shared" si="0"/>
        <v>110000</v>
      </c>
      <c r="P34" s="24">
        <f t="shared" si="1"/>
        <v>80000</v>
      </c>
      <c r="Q34" s="25">
        <f t="shared" si="2"/>
        <v>-30000</v>
      </c>
      <c r="R34" s="24">
        <f t="shared" si="3"/>
        <v>-37000</v>
      </c>
      <c r="S34" s="31"/>
      <c r="T34" s="34"/>
    </row>
    <row r="35" spans="1:20" ht="15.6" x14ac:dyDescent="0.3">
      <c r="A35" s="8">
        <v>29</v>
      </c>
      <c r="B35" s="7" t="s">
        <v>44</v>
      </c>
      <c r="C35" s="37">
        <v>-121000</v>
      </c>
      <c r="D35" s="24"/>
      <c r="E35" s="24"/>
      <c r="F35" s="24">
        <v>10000</v>
      </c>
      <c r="H35" s="10">
        <v>10000</v>
      </c>
      <c r="I35" s="10"/>
      <c r="J35" s="10"/>
      <c r="K35" s="24"/>
      <c r="L35" s="24">
        <v>50000</v>
      </c>
      <c r="M35" s="24"/>
      <c r="N35" s="24">
        <v>10000</v>
      </c>
      <c r="O35" s="24">
        <f t="shared" si="0"/>
        <v>110000</v>
      </c>
      <c r="P35" s="24">
        <f t="shared" si="1"/>
        <v>70000</v>
      </c>
      <c r="Q35" s="25">
        <f t="shared" si="2"/>
        <v>-40000</v>
      </c>
      <c r="R35" s="24">
        <f t="shared" si="3"/>
        <v>-161000</v>
      </c>
      <c r="S35" s="31"/>
      <c r="T35" s="34"/>
    </row>
    <row r="36" spans="1:20" ht="15.6" x14ac:dyDescent="0.3">
      <c r="A36" s="8">
        <v>30</v>
      </c>
      <c r="B36" s="7" t="s">
        <v>45</v>
      </c>
      <c r="C36" s="37">
        <v>-13000</v>
      </c>
      <c r="D36" s="24"/>
      <c r="E36" s="24"/>
      <c r="F36" s="24"/>
      <c r="G36" s="37"/>
      <c r="H36" s="10"/>
      <c r="I36" s="10"/>
      <c r="J36" s="10"/>
      <c r="K36" s="24"/>
      <c r="L36" s="24"/>
      <c r="M36" s="24"/>
      <c r="N36" s="24">
        <v>10000</v>
      </c>
      <c r="O36" s="24">
        <f t="shared" si="0"/>
        <v>110000</v>
      </c>
      <c r="P36" s="24">
        <f t="shared" si="1"/>
        <v>0</v>
      </c>
      <c r="Q36" s="25">
        <f t="shared" si="2"/>
        <v>-110000</v>
      </c>
      <c r="R36" s="24">
        <f t="shared" si="3"/>
        <v>-123000</v>
      </c>
      <c r="S36" s="31"/>
      <c r="T36" s="34"/>
    </row>
    <row r="37" spans="1:20" ht="15.6" x14ac:dyDescent="0.3">
      <c r="A37" s="8">
        <v>31</v>
      </c>
      <c r="B37" s="7" t="s">
        <v>46</v>
      </c>
      <c r="C37" s="37">
        <v>-67500</v>
      </c>
      <c r="D37" s="24"/>
      <c r="E37" s="24"/>
      <c r="F37" s="24"/>
      <c r="G37" s="37"/>
      <c r="H37" s="10"/>
      <c r="I37" s="10"/>
      <c r="J37" s="10"/>
      <c r="K37" s="24">
        <v>120000</v>
      </c>
      <c r="L37" s="24"/>
      <c r="M37" s="24"/>
      <c r="N37" s="24">
        <v>10000</v>
      </c>
      <c r="O37" s="24">
        <f t="shared" si="0"/>
        <v>110000</v>
      </c>
      <c r="P37" s="24">
        <f t="shared" si="1"/>
        <v>120000</v>
      </c>
      <c r="Q37" s="25">
        <f t="shared" si="2"/>
        <v>10000</v>
      </c>
      <c r="R37" s="24">
        <f t="shared" si="3"/>
        <v>-57500</v>
      </c>
      <c r="S37" s="31">
        <v>5000</v>
      </c>
      <c r="T37" s="34"/>
    </row>
    <row r="38" spans="1:20" ht="15.6" x14ac:dyDescent="0.3">
      <c r="A38" s="8">
        <v>32</v>
      </c>
      <c r="B38" s="7" t="s">
        <v>47</v>
      </c>
      <c r="C38" s="37">
        <v>-137500</v>
      </c>
      <c r="D38" s="24"/>
      <c r="E38" s="24"/>
      <c r="F38" s="24"/>
      <c r="G38" s="37"/>
      <c r="H38" s="10"/>
      <c r="I38" s="10"/>
      <c r="J38" s="10"/>
      <c r="K38" s="24"/>
      <c r="L38" s="24"/>
      <c r="M38" s="24"/>
      <c r="N38" s="24">
        <v>10000</v>
      </c>
      <c r="O38" s="24">
        <f t="shared" si="0"/>
        <v>110000</v>
      </c>
      <c r="P38" s="24">
        <f t="shared" si="1"/>
        <v>0</v>
      </c>
      <c r="Q38" s="25">
        <f t="shared" si="2"/>
        <v>-110000</v>
      </c>
      <c r="R38" s="24">
        <f t="shared" si="3"/>
        <v>-247500</v>
      </c>
      <c r="S38" s="31"/>
      <c r="T38" s="34"/>
    </row>
    <row r="39" spans="1:20" ht="15.6" x14ac:dyDescent="0.3">
      <c r="A39" s="8">
        <v>33</v>
      </c>
      <c r="B39" s="7" t="s">
        <v>48</v>
      </c>
      <c r="C39" s="37">
        <v>-257500</v>
      </c>
      <c r="D39" s="24"/>
      <c r="E39" s="24"/>
      <c r="F39" s="24"/>
      <c r="G39" s="37"/>
      <c r="H39" s="10"/>
      <c r="I39" s="10"/>
      <c r="J39" s="10"/>
      <c r="K39" s="24"/>
      <c r="L39" s="24"/>
      <c r="M39" s="24"/>
      <c r="N39" s="24">
        <v>10000</v>
      </c>
      <c r="O39" s="24">
        <f t="shared" si="0"/>
        <v>110000</v>
      </c>
      <c r="P39" s="24">
        <f t="shared" si="1"/>
        <v>0</v>
      </c>
      <c r="Q39" s="25">
        <f t="shared" ref="Q39:Q70" si="4">+P39-O39</f>
        <v>-110000</v>
      </c>
      <c r="R39" s="24">
        <f t="shared" ref="R39:R70" si="5">+Q39+C39</f>
        <v>-367500</v>
      </c>
      <c r="S39" s="31"/>
      <c r="T39" s="34"/>
    </row>
    <row r="40" spans="1:20" ht="15.6" x14ac:dyDescent="0.3">
      <c r="A40" s="8">
        <v>34</v>
      </c>
      <c r="B40" s="7" t="s">
        <v>49</v>
      </c>
      <c r="C40" s="37">
        <v>16000</v>
      </c>
      <c r="D40" s="24"/>
      <c r="E40" s="24"/>
      <c r="F40" s="24"/>
      <c r="G40" s="37"/>
      <c r="H40" s="10"/>
      <c r="I40" s="10"/>
      <c r="J40" s="10"/>
      <c r="K40" s="24">
        <v>150000</v>
      </c>
      <c r="L40" s="24"/>
      <c r="M40" s="24"/>
      <c r="N40" s="24">
        <v>10000</v>
      </c>
      <c r="O40" s="24">
        <f t="shared" si="0"/>
        <v>110000</v>
      </c>
      <c r="P40" s="24">
        <f t="shared" si="1"/>
        <v>150000</v>
      </c>
      <c r="Q40" s="25">
        <f t="shared" si="4"/>
        <v>40000</v>
      </c>
      <c r="R40" s="24">
        <f t="shared" si="5"/>
        <v>56000</v>
      </c>
      <c r="S40" s="31"/>
      <c r="T40" s="34"/>
    </row>
    <row r="41" spans="1:20" ht="15.6" x14ac:dyDescent="0.3">
      <c r="A41" s="8">
        <v>35</v>
      </c>
      <c r="B41" s="7" t="s">
        <v>50</v>
      </c>
      <c r="C41" s="37">
        <v>22000</v>
      </c>
      <c r="D41" s="24"/>
      <c r="E41" s="24"/>
      <c r="F41" s="24">
        <v>30000</v>
      </c>
      <c r="G41" s="37"/>
      <c r="H41" s="10">
        <v>30000</v>
      </c>
      <c r="I41" s="10"/>
      <c r="J41" s="10"/>
      <c r="K41" s="24"/>
      <c r="L41" s="24">
        <v>30000</v>
      </c>
      <c r="M41" s="24"/>
      <c r="N41" s="24">
        <v>10000</v>
      </c>
      <c r="O41" s="24">
        <f t="shared" si="0"/>
        <v>110000</v>
      </c>
      <c r="P41" s="24">
        <f t="shared" si="1"/>
        <v>90000</v>
      </c>
      <c r="Q41" s="25">
        <f t="shared" si="4"/>
        <v>-20000</v>
      </c>
      <c r="R41" s="24">
        <f t="shared" si="5"/>
        <v>2000</v>
      </c>
      <c r="S41" s="31">
        <v>5000</v>
      </c>
      <c r="T41" s="34"/>
    </row>
    <row r="42" spans="1:20" ht="15.6" x14ac:dyDescent="0.3">
      <c r="A42" s="8">
        <v>36</v>
      </c>
      <c r="B42" s="7" t="s">
        <v>51</v>
      </c>
      <c r="C42" s="37">
        <v>18000</v>
      </c>
      <c r="D42" s="24"/>
      <c r="E42" s="24"/>
      <c r="F42" s="24">
        <f>50000+100000</f>
        <v>150000</v>
      </c>
      <c r="G42" s="37"/>
      <c r="H42" s="10"/>
      <c r="I42" s="10"/>
      <c r="J42" s="10"/>
      <c r="K42" s="24"/>
      <c r="L42" s="24"/>
      <c r="M42" s="24"/>
      <c r="N42" s="24">
        <v>10000</v>
      </c>
      <c r="O42" s="24">
        <f t="shared" si="0"/>
        <v>110000</v>
      </c>
      <c r="P42" s="24">
        <f t="shared" si="1"/>
        <v>150000</v>
      </c>
      <c r="Q42" s="25">
        <f t="shared" si="4"/>
        <v>40000</v>
      </c>
      <c r="R42" s="24">
        <f t="shared" si="5"/>
        <v>58000</v>
      </c>
      <c r="S42" s="31"/>
      <c r="T42" s="34"/>
    </row>
    <row r="43" spans="1:20" ht="15.6" x14ac:dyDescent="0.3">
      <c r="A43" s="8">
        <v>37</v>
      </c>
      <c r="B43" s="7" t="s">
        <v>52</v>
      </c>
      <c r="C43" s="37">
        <v>-67000</v>
      </c>
      <c r="D43" s="24"/>
      <c r="E43" s="24">
        <v>50000</v>
      </c>
      <c r="F43" s="24"/>
      <c r="G43" s="37"/>
      <c r="H43" s="10"/>
      <c r="I43" s="10"/>
      <c r="J43" s="10">
        <v>50000</v>
      </c>
      <c r="K43" s="24"/>
      <c r="L43" s="24"/>
      <c r="M43" s="24"/>
      <c r="N43" s="24">
        <v>10000</v>
      </c>
      <c r="O43" s="24">
        <f t="shared" si="0"/>
        <v>110000</v>
      </c>
      <c r="P43" s="24">
        <f t="shared" si="1"/>
        <v>100000</v>
      </c>
      <c r="Q43" s="25">
        <f t="shared" si="4"/>
        <v>-10000</v>
      </c>
      <c r="R43" s="24">
        <f t="shared" si="5"/>
        <v>-77000</v>
      </c>
      <c r="S43" s="31">
        <v>5000</v>
      </c>
      <c r="T43" s="34"/>
    </row>
    <row r="44" spans="1:20" ht="15.6" x14ac:dyDescent="0.3">
      <c r="A44" s="8">
        <v>38</v>
      </c>
      <c r="B44" s="7" t="s">
        <v>136</v>
      </c>
      <c r="C44" s="37">
        <v>-47000</v>
      </c>
      <c r="D44" s="24"/>
      <c r="E44" s="24"/>
      <c r="F44" s="24"/>
      <c r="G44" s="37"/>
      <c r="H44" s="10">
        <v>45000</v>
      </c>
      <c r="I44" s="10"/>
      <c r="J44" s="10">
        <v>20000</v>
      </c>
      <c r="K44" s="24">
        <v>10000</v>
      </c>
      <c r="L44" s="24"/>
      <c r="M44" s="24"/>
      <c r="N44" s="24">
        <v>10000</v>
      </c>
      <c r="O44" s="24">
        <f t="shared" si="0"/>
        <v>110000</v>
      </c>
      <c r="P44" s="24">
        <f t="shared" si="1"/>
        <v>75000</v>
      </c>
      <c r="Q44" s="25">
        <f t="shared" si="4"/>
        <v>-35000</v>
      </c>
      <c r="R44" s="24">
        <f t="shared" si="5"/>
        <v>-82000</v>
      </c>
      <c r="S44" s="31">
        <v>5000</v>
      </c>
      <c r="T44" s="34"/>
    </row>
    <row r="45" spans="1:20" ht="15.6" x14ac:dyDescent="0.3">
      <c r="A45" s="8">
        <v>39</v>
      </c>
      <c r="B45" s="7" t="s">
        <v>53</v>
      </c>
      <c r="C45" s="37">
        <v>-46500</v>
      </c>
      <c r="D45" s="24">
        <v>20000</v>
      </c>
      <c r="E45" s="24"/>
      <c r="F45" s="24"/>
      <c r="G45" s="37">
        <v>50000</v>
      </c>
      <c r="H45" s="10"/>
      <c r="I45" s="10"/>
      <c r="J45" s="10"/>
      <c r="K45" s="24">
        <v>30000</v>
      </c>
      <c r="L45" s="24"/>
      <c r="M45" s="24"/>
      <c r="N45" s="24">
        <v>10000</v>
      </c>
      <c r="O45" s="24">
        <f t="shared" si="0"/>
        <v>110000</v>
      </c>
      <c r="P45" s="24">
        <f t="shared" si="1"/>
        <v>100000</v>
      </c>
      <c r="Q45" s="25">
        <f t="shared" si="4"/>
        <v>-10000</v>
      </c>
      <c r="R45" s="24">
        <f t="shared" si="5"/>
        <v>-56500</v>
      </c>
      <c r="S45" s="31"/>
      <c r="T45" s="34"/>
    </row>
    <row r="46" spans="1:20" ht="15.6" x14ac:dyDescent="0.3">
      <c r="A46" s="8">
        <v>40</v>
      </c>
      <c r="B46" s="7" t="s">
        <v>54</v>
      </c>
      <c r="C46" s="37">
        <v>-13000</v>
      </c>
      <c r="D46" s="24">
        <v>10000</v>
      </c>
      <c r="E46" s="24"/>
      <c r="F46" s="24">
        <v>20000</v>
      </c>
      <c r="H46" s="10">
        <v>10000</v>
      </c>
      <c r="I46" s="10"/>
      <c r="J46" s="10"/>
      <c r="K46" s="24">
        <v>20000</v>
      </c>
      <c r="L46" s="24"/>
      <c r="M46" s="24"/>
      <c r="N46" s="24">
        <v>10000</v>
      </c>
      <c r="O46" s="24">
        <f t="shared" si="0"/>
        <v>110000</v>
      </c>
      <c r="P46" s="24">
        <f t="shared" si="1"/>
        <v>60000</v>
      </c>
      <c r="Q46" s="25">
        <f t="shared" si="4"/>
        <v>-50000</v>
      </c>
      <c r="R46" s="24">
        <f t="shared" si="5"/>
        <v>-63000</v>
      </c>
      <c r="S46" s="31">
        <v>5000</v>
      </c>
      <c r="T46" s="34"/>
    </row>
    <row r="47" spans="1:20" ht="15.6" x14ac:dyDescent="0.3">
      <c r="A47" s="8">
        <v>41</v>
      </c>
      <c r="B47" s="7" t="s">
        <v>55</v>
      </c>
      <c r="C47" s="37">
        <v>38000</v>
      </c>
      <c r="D47" s="24"/>
      <c r="E47" s="24"/>
      <c r="F47" s="24"/>
      <c r="G47" s="37"/>
      <c r="H47" s="10"/>
      <c r="I47" s="10"/>
      <c r="J47" s="10"/>
      <c r="K47" s="24"/>
      <c r="L47" s="24"/>
      <c r="M47" s="24"/>
      <c r="N47" s="24">
        <v>10000</v>
      </c>
      <c r="O47" s="24">
        <f t="shared" si="0"/>
        <v>110000</v>
      </c>
      <c r="P47" s="24">
        <f t="shared" si="1"/>
        <v>0</v>
      </c>
      <c r="Q47" s="25">
        <f t="shared" si="4"/>
        <v>-110000</v>
      </c>
      <c r="R47" s="24">
        <f t="shared" si="5"/>
        <v>-72000</v>
      </c>
      <c r="S47" s="31"/>
      <c r="T47" s="34"/>
    </row>
    <row r="48" spans="1:20" ht="15.6" x14ac:dyDescent="0.3">
      <c r="A48" s="8">
        <v>42</v>
      </c>
      <c r="B48" s="7" t="s">
        <v>56</v>
      </c>
      <c r="C48" s="37">
        <v>82000</v>
      </c>
      <c r="D48" s="24"/>
      <c r="E48" s="24">
        <v>60000</v>
      </c>
      <c r="F48" s="24"/>
      <c r="G48" s="37"/>
      <c r="H48" s="10"/>
      <c r="I48" s="10"/>
      <c r="J48" s="10"/>
      <c r="K48" s="24"/>
      <c r="L48" s="24"/>
      <c r="M48" s="24"/>
      <c r="N48" s="24">
        <v>10000</v>
      </c>
      <c r="O48" s="24">
        <f t="shared" si="0"/>
        <v>110000</v>
      </c>
      <c r="P48" s="24">
        <f t="shared" si="1"/>
        <v>60000</v>
      </c>
      <c r="Q48" s="25">
        <f t="shared" si="4"/>
        <v>-50000</v>
      </c>
      <c r="R48" s="24">
        <f t="shared" si="5"/>
        <v>32000</v>
      </c>
      <c r="S48" s="31"/>
      <c r="T48" s="34"/>
    </row>
    <row r="49" spans="1:20" ht="15.6" x14ac:dyDescent="0.3">
      <c r="A49" s="8">
        <v>43</v>
      </c>
      <c r="B49" s="7" t="s">
        <v>57</v>
      </c>
      <c r="C49" s="37">
        <v>14000</v>
      </c>
      <c r="D49" s="24"/>
      <c r="E49" s="24"/>
      <c r="F49" s="24"/>
      <c r="G49" s="37"/>
      <c r="H49" s="10"/>
      <c r="I49" s="10"/>
      <c r="J49" s="10"/>
      <c r="K49" s="24">
        <v>100000</v>
      </c>
      <c r="L49" s="24"/>
      <c r="M49" s="24"/>
      <c r="N49" s="24">
        <v>10000</v>
      </c>
      <c r="O49" s="24">
        <f t="shared" si="0"/>
        <v>110000</v>
      </c>
      <c r="P49" s="24">
        <f t="shared" si="1"/>
        <v>100000</v>
      </c>
      <c r="Q49" s="25">
        <f t="shared" si="4"/>
        <v>-10000</v>
      </c>
      <c r="R49" s="24">
        <f t="shared" si="5"/>
        <v>4000</v>
      </c>
      <c r="S49" s="31"/>
      <c r="T49" s="34"/>
    </row>
    <row r="50" spans="1:20" ht="15.6" x14ac:dyDescent="0.3">
      <c r="A50" s="8">
        <v>44</v>
      </c>
      <c r="B50" s="7" t="s">
        <v>58</v>
      </c>
      <c r="C50" s="37">
        <v>-4000</v>
      </c>
      <c r="D50" s="24"/>
      <c r="E50" s="24">
        <v>120000</v>
      </c>
      <c r="F50" s="24"/>
      <c r="G50" s="37"/>
      <c r="H50" s="10"/>
      <c r="I50" s="10">
        <v>120000</v>
      </c>
      <c r="J50" s="10"/>
      <c r="K50" s="24"/>
      <c r="L50" s="24"/>
      <c r="M50" s="24"/>
      <c r="N50" s="24">
        <v>10000</v>
      </c>
      <c r="O50" s="24">
        <f t="shared" si="0"/>
        <v>110000</v>
      </c>
      <c r="P50" s="24">
        <f t="shared" si="1"/>
        <v>240000</v>
      </c>
      <c r="Q50" s="25">
        <f t="shared" si="4"/>
        <v>130000</v>
      </c>
      <c r="R50" s="24">
        <f t="shared" si="5"/>
        <v>126000</v>
      </c>
      <c r="S50" s="31">
        <v>5000</v>
      </c>
      <c r="T50" s="34"/>
    </row>
    <row r="51" spans="1:20" ht="15.6" x14ac:dyDescent="0.3">
      <c r="A51" s="8">
        <v>45</v>
      </c>
      <c r="B51" s="7" t="s">
        <v>59</v>
      </c>
      <c r="C51" s="37">
        <v>-72000</v>
      </c>
      <c r="D51" s="24"/>
      <c r="E51" s="24">
        <v>40000</v>
      </c>
      <c r="F51" s="24"/>
      <c r="G51" s="37">
        <v>100000</v>
      </c>
      <c r="H51" s="10"/>
      <c r="I51" s="10"/>
      <c r="J51" s="10"/>
      <c r="K51" s="24"/>
      <c r="L51" s="24"/>
      <c r="M51" s="24"/>
      <c r="N51" s="24">
        <v>10000</v>
      </c>
      <c r="O51" s="24">
        <f t="shared" si="0"/>
        <v>110000</v>
      </c>
      <c r="P51" s="24">
        <f t="shared" si="1"/>
        <v>140000</v>
      </c>
      <c r="Q51" s="25">
        <f t="shared" si="4"/>
        <v>30000</v>
      </c>
      <c r="R51" s="24">
        <f t="shared" si="5"/>
        <v>-42000</v>
      </c>
      <c r="S51" s="31"/>
      <c r="T51" s="34"/>
    </row>
    <row r="52" spans="1:20" ht="15.6" x14ac:dyDescent="0.3">
      <c r="A52" s="8">
        <v>46</v>
      </c>
      <c r="B52" s="7" t="s">
        <v>60</v>
      </c>
      <c r="C52" s="37">
        <v>-237000</v>
      </c>
      <c r="D52" s="24">
        <v>10000</v>
      </c>
      <c r="E52" s="24">
        <v>10000</v>
      </c>
      <c r="F52" s="24">
        <v>10000</v>
      </c>
      <c r="G52" s="37">
        <v>50000</v>
      </c>
      <c r="H52" s="10">
        <v>10000</v>
      </c>
      <c r="I52" s="10"/>
      <c r="J52" s="10">
        <v>10000</v>
      </c>
      <c r="K52" s="24">
        <v>10000</v>
      </c>
      <c r="L52" s="24"/>
      <c r="M52" s="24"/>
      <c r="N52" s="24">
        <v>10000</v>
      </c>
      <c r="O52" s="24">
        <f t="shared" si="0"/>
        <v>110000</v>
      </c>
      <c r="P52" s="24">
        <f t="shared" si="1"/>
        <v>110000</v>
      </c>
      <c r="Q52" s="25">
        <f t="shared" si="4"/>
        <v>0</v>
      </c>
      <c r="R52" s="24">
        <f t="shared" si="5"/>
        <v>-237000</v>
      </c>
      <c r="S52" s="31"/>
      <c r="T52" s="34"/>
    </row>
    <row r="53" spans="1:20" ht="15.6" x14ac:dyDescent="0.3">
      <c r="A53" s="8">
        <v>47</v>
      </c>
      <c r="B53" s="7" t="s">
        <v>61</v>
      </c>
      <c r="C53" s="37">
        <v>-39000</v>
      </c>
      <c r="D53" s="24"/>
      <c r="E53" s="24">
        <v>30000</v>
      </c>
      <c r="F53" s="24">
        <v>30000</v>
      </c>
      <c r="H53" s="10"/>
      <c r="I53" s="10">
        <v>30000</v>
      </c>
      <c r="J53" s="10"/>
      <c r="K53" s="24"/>
      <c r="L53" s="24"/>
      <c r="M53" s="24"/>
      <c r="N53" s="24">
        <v>10000</v>
      </c>
      <c r="O53" s="24">
        <f t="shared" si="0"/>
        <v>110000</v>
      </c>
      <c r="P53" s="24">
        <f t="shared" si="1"/>
        <v>90000</v>
      </c>
      <c r="Q53" s="25">
        <f t="shared" si="4"/>
        <v>-20000</v>
      </c>
      <c r="R53" s="24">
        <f t="shared" si="5"/>
        <v>-59000</v>
      </c>
      <c r="S53" s="31">
        <v>5000</v>
      </c>
      <c r="T53" s="34"/>
    </row>
    <row r="54" spans="1:20" ht="15.6" x14ac:dyDescent="0.3">
      <c r="A54" s="8">
        <v>48</v>
      </c>
      <c r="B54" s="7" t="s">
        <v>62</v>
      </c>
      <c r="C54" s="37">
        <v>-21000</v>
      </c>
      <c r="D54" s="24"/>
      <c r="E54" s="24">
        <v>20000</v>
      </c>
      <c r="F54" s="24">
        <v>20000</v>
      </c>
      <c r="G54" s="37">
        <v>20000</v>
      </c>
      <c r="H54" s="10">
        <v>20000</v>
      </c>
      <c r="I54" s="10">
        <v>20000</v>
      </c>
      <c r="J54" s="10"/>
      <c r="K54" s="24"/>
      <c r="L54" s="24">
        <v>20000</v>
      </c>
      <c r="M54" s="24"/>
      <c r="N54" s="24">
        <v>10000</v>
      </c>
      <c r="O54" s="24">
        <f t="shared" si="0"/>
        <v>110000</v>
      </c>
      <c r="P54" s="24">
        <f t="shared" si="1"/>
        <v>120000</v>
      </c>
      <c r="Q54" s="25">
        <f t="shared" si="4"/>
        <v>10000</v>
      </c>
      <c r="R54" s="24">
        <f t="shared" si="5"/>
        <v>-11000</v>
      </c>
      <c r="S54" s="31">
        <v>5000</v>
      </c>
      <c r="T54" s="34"/>
    </row>
    <row r="55" spans="1:20" ht="15.6" x14ac:dyDescent="0.3">
      <c r="A55" s="8">
        <v>49</v>
      </c>
      <c r="B55" s="7" t="s">
        <v>63</v>
      </c>
      <c r="C55" s="37">
        <v>-143000</v>
      </c>
      <c r="D55" s="24"/>
      <c r="E55" s="24"/>
      <c r="F55" s="24"/>
      <c r="H55" s="10"/>
      <c r="I55" s="10"/>
      <c r="J55" s="10"/>
      <c r="K55" s="24"/>
      <c r="L55" s="24">
        <v>74000</v>
      </c>
      <c r="M55" s="24"/>
      <c r="N55" s="24">
        <v>10000</v>
      </c>
      <c r="O55" s="24">
        <f t="shared" si="0"/>
        <v>110000</v>
      </c>
      <c r="P55" s="24">
        <f t="shared" si="1"/>
        <v>74000</v>
      </c>
      <c r="Q55" s="25">
        <f t="shared" si="4"/>
        <v>-36000</v>
      </c>
      <c r="R55" s="24">
        <f t="shared" si="5"/>
        <v>-179000</v>
      </c>
      <c r="S55" s="31"/>
      <c r="T55" s="34"/>
    </row>
    <row r="56" spans="1:20" ht="15.6" x14ac:dyDescent="0.3">
      <c r="A56" s="8">
        <v>50</v>
      </c>
      <c r="B56" s="7" t="s">
        <v>64</v>
      </c>
      <c r="C56" s="37">
        <v>67000</v>
      </c>
      <c r="D56" s="24">
        <v>20000</v>
      </c>
      <c r="E56" s="24">
        <v>20000</v>
      </c>
      <c r="F56" s="24">
        <v>20000</v>
      </c>
      <c r="G56" s="37"/>
      <c r="H56" s="10">
        <v>40000</v>
      </c>
      <c r="I56" s="10">
        <v>20000</v>
      </c>
      <c r="J56" s="10">
        <v>20000</v>
      </c>
      <c r="K56" s="24"/>
      <c r="L56" s="24">
        <v>40000</v>
      </c>
      <c r="M56" s="24"/>
      <c r="N56" s="24">
        <v>10000</v>
      </c>
      <c r="O56" s="24">
        <f t="shared" si="0"/>
        <v>110000</v>
      </c>
      <c r="P56" s="24">
        <f t="shared" si="1"/>
        <v>180000</v>
      </c>
      <c r="Q56" s="25">
        <f t="shared" si="4"/>
        <v>70000</v>
      </c>
      <c r="R56" s="24">
        <f t="shared" si="5"/>
        <v>137000</v>
      </c>
      <c r="S56" s="31">
        <v>5000</v>
      </c>
      <c r="T56" s="34"/>
    </row>
    <row r="57" spans="1:20" ht="15.6" x14ac:dyDescent="0.3">
      <c r="A57" s="8">
        <v>51</v>
      </c>
      <c r="B57" s="7" t="s">
        <v>65</v>
      </c>
      <c r="C57" s="37">
        <v>-160000</v>
      </c>
      <c r="D57" s="24"/>
      <c r="E57" s="24"/>
      <c r="F57" s="24"/>
      <c r="G57" s="37"/>
      <c r="H57" s="10"/>
      <c r="I57" s="10"/>
      <c r="J57" s="10"/>
      <c r="K57" s="24"/>
      <c r="L57" s="24"/>
      <c r="M57" s="24"/>
      <c r="N57" s="24">
        <v>10000</v>
      </c>
      <c r="O57" s="24">
        <f t="shared" si="0"/>
        <v>110000</v>
      </c>
      <c r="P57" s="24">
        <f t="shared" si="1"/>
        <v>0</v>
      </c>
      <c r="Q57" s="25">
        <f t="shared" si="4"/>
        <v>-110000</v>
      </c>
      <c r="R57" s="24">
        <f t="shared" si="5"/>
        <v>-270000</v>
      </c>
      <c r="S57" s="31"/>
      <c r="T57" s="34"/>
    </row>
    <row r="58" spans="1:20" ht="15.6" x14ac:dyDescent="0.3">
      <c r="A58" s="8">
        <v>52</v>
      </c>
      <c r="B58" s="7" t="s">
        <v>66</v>
      </c>
      <c r="C58" s="37">
        <v>-1000</v>
      </c>
      <c r="D58" s="24">
        <v>10000</v>
      </c>
      <c r="E58" s="24"/>
      <c r="F58" s="24"/>
      <c r="G58" s="37">
        <v>20000</v>
      </c>
      <c r="H58" s="10"/>
      <c r="I58" s="10">
        <v>30000</v>
      </c>
      <c r="J58" s="10">
        <v>10000</v>
      </c>
      <c r="K58" s="24">
        <v>20000</v>
      </c>
      <c r="L58" s="24">
        <v>10000</v>
      </c>
      <c r="M58" s="24"/>
      <c r="N58" s="24">
        <v>10000</v>
      </c>
      <c r="O58" s="24">
        <f t="shared" si="0"/>
        <v>110000</v>
      </c>
      <c r="P58" s="24">
        <f t="shared" si="1"/>
        <v>100000</v>
      </c>
      <c r="Q58" s="25">
        <f t="shared" si="4"/>
        <v>-10000</v>
      </c>
      <c r="R58" s="24">
        <f t="shared" si="5"/>
        <v>-11000</v>
      </c>
      <c r="S58" s="31"/>
      <c r="T58" s="34"/>
    </row>
    <row r="59" spans="1:20" ht="15.6" x14ac:dyDescent="0.3">
      <c r="A59" s="8">
        <v>53</v>
      </c>
      <c r="B59" s="7" t="s">
        <v>67</v>
      </c>
      <c r="C59" s="37">
        <v>-11000</v>
      </c>
      <c r="D59" s="24"/>
      <c r="E59" s="24"/>
      <c r="F59" s="24"/>
      <c r="G59" s="37">
        <v>120000</v>
      </c>
      <c r="H59" s="10"/>
      <c r="I59" s="10"/>
      <c r="J59" s="10"/>
      <c r="K59" s="24"/>
      <c r="L59" s="24"/>
      <c r="M59" s="24"/>
      <c r="N59" s="24">
        <v>10000</v>
      </c>
      <c r="O59" s="24">
        <f t="shared" si="0"/>
        <v>110000</v>
      </c>
      <c r="P59" s="24">
        <f t="shared" si="1"/>
        <v>120000</v>
      </c>
      <c r="Q59" s="25">
        <f t="shared" si="4"/>
        <v>10000</v>
      </c>
      <c r="R59" s="24">
        <f t="shared" si="5"/>
        <v>-1000</v>
      </c>
      <c r="S59" s="31">
        <v>5000</v>
      </c>
      <c r="T59" s="34"/>
    </row>
    <row r="60" spans="1:20" ht="15.6" x14ac:dyDescent="0.3">
      <c r="A60" s="8">
        <v>54</v>
      </c>
      <c r="B60" s="7" t="s">
        <v>68</v>
      </c>
      <c r="C60" s="37">
        <v>-36000</v>
      </c>
      <c r="D60" s="24">
        <v>10000</v>
      </c>
      <c r="E60" s="24"/>
      <c r="F60" s="24">
        <v>10000</v>
      </c>
      <c r="G60" s="37">
        <v>10000</v>
      </c>
      <c r="H60" s="10"/>
      <c r="I60" s="10">
        <v>40000</v>
      </c>
      <c r="J60" s="10"/>
      <c r="K60" s="24">
        <v>20000</v>
      </c>
      <c r="L60" s="24"/>
      <c r="M60" s="24"/>
      <c r="N60" s="24">
        <v>10000</v>
      </c>
      <c r="O60" s="24">
        <f t="shared" si="0"/>
        <v>110000</v>
      </c>
      <c r="P60" s="24">
        <f t="shared" si="1"/>
        <v>90000</v>
      </c>
      <c r="Q60" s="25">
        <f t="shared" si="4"/>
        <v>-20000</v>
      </c>
      <c r="R60" s="24">
        <f t="shared" si="5"/>
        <v>-56000</v>
      </c>
      <c r="S60" s="31"/>
      <c r="T60" s="34"/>
    </row>
    <row r="61" spans="1:20" ht="15.6" x14ac:dyDescent="0.3">
      <c r="A61" s="8">
        <v>55</v>
      </c>
      <c r="B61" s="7" t="s">
        <v>69</v>
      </c>
      <c r="C61" s="37">
        <v>9000</v>
      </c>
      <c r="D61" s="24"/>
      <c r="E61" s="24"/>
      <c r="F61" s="24"/>
      <c r="G61" s="37">
        <v>50000</v>
      </c>
      <c r="H61" s="10"/>
      <c r="I61" s="10">
        <v>50000</v>
      </c>
      <c r="J61" s="10"/>
      <c r="K61" s="24"/>
      <c r="L61" s="24"/>
      <c r="M61" s="24"/>
      <c r="N61" s="24">
        <v>10000</v>
      </c>
      <c r="O61" s="24">
        <f t="shared" si="0"/>
        <v>110000</v>
      </c>
      <c r="P61" s="24">
        <f t="shared" si="1"/>
        <v>100000</v>
      </c>
      <c r="Q61" s="25">
        <f t="shared" si="4"/>
        <v>-10000</v>
      </c>
      <c r="R61" s="24">
        <f t="shared" si="5"/>
        <v>-1000</v>
      </c>
      <c r="S61" s="31"/>
      <c r="T61" s="34"/>
    </row>
    <row r="62" spans="1:20" ht="15.6" x14ac:dyDescent="0.3">
      <c r="A62" s="8">
        <v>56</v>
      </c>
      <c r="B62" s="7" t="s">
        <v>70</v>
      </c>
      <c r="C62" s="37">
        <v>-17000</v>
      </c>
      <c r="D62" s="24"/>
      <c r="E62" s="24"/>
      <c r="F62" s="24"/>
      <c r="H62" s="10"/>
      <c r="I62" s="10"/>
      <c r="J62" s="10"/>
      <c r="K62" s="24"/>
      <c r="L62" s="24">
        <v>30000</v>
      </c>
      <c r="M62" s="24"/>
      <c r="N62" s="24">
        <v>10000</v>
      </c>
      <c r="O62" s="24">
        <f t="shared" si="0"/>
        <v>110000</v>
      </c>
      <c r="P62" s="24">
        <f t="shared" si="1"/>
        <v>30000</v>
      </c>
      <c r="Q62" s="25">
        <f t="shared" si="4"/>
        <v>-80000</v>
      </c>
      <c r="R62" s="24">
        <f t="shared" si="5"/>
        <v>-97000</v>
      </c>
      <c r="S62" s="31"/>
      <c r="T62" s="34"/>
    </row>
    <row r="63" spans="1:20" ht="15.6" x14ac:dyDescent="0.3">
      <c r="A63" s="8">
        <v>57</v>
      </c>
      <c r="B63" s="7" t="s">
        <v>71</v>
      </c>
      <c r="C63" s="37">
        <v>-20000</v>
      </c>
      <c r="D63" s="24"/>
      <c r="E63" s="24"/>
      <c r="F63" s="24">
        <v>50000</v>
      </c>
      <c r="G63" s="37"/>
      <c r="H63" s="10">
        <v>100000</v>
      </c>
      <c r="I63" s="10"/>
      <c r="J63" s="10">
        <v>100000</v>
      </c>
      <c r="K63" s="24"/>
      <c r="L63" s="24"/>
      <c r="M63" s="24"/>
      <c r="N63" s="24">
        <v>10000</v>
      </c>
      <c r="O63" s="24">
        <f t="shared" si="0"/>
        <v>110000</v>
      </c>
      <c r="P63" s="24">
        <f t="shared" si="1"/>
        <v>250000</v>
      </c>
      <c r="Q63" s="25">
        <f t="shared" si="4"/>
        <v>140000</v>
      </c>
      <c r="R63" s="24">
        <f t="shared" si="5"/>
        <v>120000</v>
      </c>
      <c r="S63" s="31"/>
      <c r="T63" s="34"/>
    </row>
    <row r="64" spans="1:20" ht="15.6" x14ac:dyDescent="0.3">
      <c r="A64" s="8">
        <v>58</v>
      </c>
      <c r="B64" s="7" t="s">
        <v>72</v>
      </c>
      <c r="C64" s="37">
        <v>-41000</v>
      </c>
      <c r="D64" s="24"/>
      <c r="E64" s="24"/>
      <c r="F64" s="24">
        <v>20000</v>
      </c>
      <c r="G64" s="37"/>
      <c r="H64" s="10"/>
      <c r="I64" s="10"/>
      <c r="J64" s="10"/>
      <c r="K64" s="24"/>
      <c r="L64" s="24"/>
      <c r="M64" s="24"/>
      <c r="N64" s="24">
        <v>10000</v>
      </c>
      <c r="O64" s="24">
        <f t="shared" si="0"/>
        <v>110000</v>
      </c>
      <c r="P64" s="24">
        <f t="shared" si="1"/>
        <v>20000</v>
      </c>
      <c r="Q64" s="25">
        <f t="shared" si="4"/>
        <v>-90000</v>
      </c>
      <c r="R64" s="24">
        <f t="shared" si="5"/>
        <v>-131000</v>
      </c>
      <c r="S64" s="31"/>
      <c r="T64" s="34"/>
    </row>
    <row r="65" spans="1:20" ht="15.6" x14ac:dyDescent="0.3">
      <c r="A65" s="8">
        <v>59</v>
      </c>
      <c r="B65" s="7" t="s">
        <v>73</v>
      </c>
      <c r="C65" s="37">
        <v>45000</v>
      </c>
      <c r="D65" s="24"/>
      <c r="E65" s="24"/>
      <c r="F65" s="24">
        <v>30000</v>
      </c>
      <c r="G65" s="37"/>
      <c r="H65" s="10"/>
      <c r="I65" s="10">
        <v>20000</v>
      </c>
      <c r="J65" s="10"/>
      <c r="K65" s="24"/>
      <c r="L65" s="24">
        <v>50000</v>
      </c>
      <c r="M65" s="24"/>
      <c r="N65" s="24">
        <v>10000</v>
      </c>
      <c r="O65" s="24">
        <f t="shared" si="0"/>
        <v>110000</v>
      </c>
      <c r="P65" s="24">
        <f t="shared" si="1"/>
        <v>100000</v>
      </c>
      <c r="Q65" s="25">
        <f t="shared" si="4"/>
        <v>-10000</v>
      </c>
      <c r="R65" s="24">
        <f t="shared" si="5"/>
        <v>35000</v>
      </c>
      <c r="S65" s="31">
        <v>5000</v>
      </c>
      <c r="T65" s="34"/>
    </row>
    <row r="66" spans="1:20" ht="15.6" x14ac:dyDescent="0.3">
      <c r="A66" s="8">
        <v>60</v>
      </c>
      <c r="B66" s="7" t="s">
        <v>74</v>
      </c>
      <c r="C66" s="37">
        <v>-21000</v>
      </c>
      <c r="D66" s="24"/>
      <c r="E66" s="24">
        <v>30000</v>
      </c>
      <c r="F66" s="24"/>
      <c r="G66" s="37"/>
      <c r="H66" s="10"/>
      <c r="I66" s="10"/>
      <c r="J66" s="10"/>
      <c r="K66" s="24"/>
      <c r="L66" s="24"/>
      <c r="M66" s="24"/>
      <c r="N66" s="24">
        <v>10000</v>
      </c>
      <c r="O66" s="24">
        <f t="shared" si="0"/>
        <v>110000</v>
      </c>
      <c r="P66" s="24">
        <f t="shared" si="1"/>
        <v>30000</v>
      </c>
      <c r="Q66" s="25">
        <f t="shared" si="4"/>
        <v>-80000</v>
      </c>
      <c r="R66" s="24">
        <f t="shared" si="5"/>
        <v>-101000</v>
      </c>
      <c r="S66" s="31"/>
      <c r="T66" s="34"/>
    </row>
    <row r="67" spans="1:20" ht="15.6" x14ac:dyDescent="0.3">
      <c r="A67" s="8">
        <v>61</v>
      </c>
      <c r="B67" s="7" t="s">
        <v>127</v>
      </c>
      <c r="C67" s="37">
        <v>-301000</v>
      </c>
      <c r="D67" s="19"/>
      <c r="E67" s="19"/>
      <c r="F67" s="19"/>
      <c r="G67" s="37"/>
      <c r="H67" s="19"/>
      <c r="I67" s="19"/>
      <c r="J67" s="19"/>
      <c r="K67" s="19"/>
      <c r="L67" s="19"/>
      <c r="M67" s="19"/>
      <c r="N67" s="24">
        <v>10000</v>
      </c>
      <c r="O67" s="24">
        <f t="shared" si="0"/>
        <v>110000</v>
      </c>
      <c r="P67" s="24">
        <f t="shared" si="1"/>
        <v>0</v>
      </c>
      <c r="Q67" s="25">
        <f t="shared" si="4"/>
        <v>-110000</v>
      </c>
      <c r="R67" s="24">
        <f t="shared" si="5"/>
        <v>-411000</v>
      </c>
      <c r="S67" s="31">
        <v>5000</v>
      </c>
      <c r="T67" s="34"/>
    </row>
    <row r="68" spans="1:20" ht="15.6" x14ac:dyDescent="0.3">
      <c r="A68" s="8">
        <v>62</v>
      </c>
      <c r="B68" s="7" t="s">
        <v>75</v>
      </c>
      <c r="C68" s="37">
        <v>-172000</v>
      </c>
      <c r="D68" s="24"/>
      <c r="E68" s="24"/>
      <c r="F68" s="24"/>
      <c r="G68" s="40"/>
      <c r="H68" s="10"/>
      <c r="I68" s="10"/>
      <c r="J68" s="10"/>
      <c r="K68" s="24"/>
      <c r="L68" s="24"/>
      <c r="M68" s="24"/>
      <c r="N68" s="24">
        <v>10000</v>
      </c>
      <c r="O68" s="24">
        <f t="shared" si="0"/>
        <v>110000</v>
      </c>
      <c r="P68" s="24">
        <f t="shared" si="1"/>
        <v>0</v>
      </c>
      <c r="Q68" s="25">
        <f t="shared" si="4"/>
        <v>-110000</v>
      </c>
      <c r="R68" s="24">
        <f t="shared" si="5"/>
        <v>-282000</v>
      </c>
      <c r="S68" s="31"/>
      <c r="T68" s="34"/>
    </row>
    <row r="69" spans="1:20" ht="15.6" x14ac:dyDescent="0.3">
      <c r="A69" s="8">
        <v>63</v>
      </c>
      <c r="B69" s="7" t="s">
        <v>76</v>
      </c>
      <c r="C69" s="37">
        <v>-46000</v>
      </c>
      <c r="D69" s="24"/>
      <c r="E69" s="24"/>
      <c r="F69" s="24"/>
      <c r="G69" s="37"/>
      <c r="H69" s="10">
        <v>30000</v>
      </c>
      <c r="I69" s="10"/>
      <c r="J69" s="10"/>
      <c r="K69" s="24"/>
      <c r="L69" s="24"/>
      <c r="M69" s="24"/>
      <c r="N69" s="24">
        <v>10000</v>
      </c>
      <c r="O69" s="24">
        <f t="shared" si="0"/>
        <v>110000</v>
      </c>
      <c r="P69" s="24">
        <f t="shared" si="1"/>
        <v>30000</v>
      </c>
      <c r="Q69" s="25">
        <f t="shared" si="4"/>
        <v>-80000</v>
      </c>
      <c r="R69" s="24">
        <f t="shared" si="5"/>
        <v>-126000</v>
      </c>
      <c r="S69" s="31">
        <v>5000</v>
      </c>
      <c r="T69" s="34"/>
    </row>
    <row r="70" spans="1:20" ht="15.6" x14ac:dyDescent="0.3">
      <c r="A70" s="8">
        <v>64</v>
      </c>
      <c r="B70" s="7" t="s">
        <v>77</v>
      </c>
      <c r="C70" s="37">
        <v>-31000</v>
      </c>
      <c r="D70" s="24">
        <v>20000</v>
      </c>
      <c r="E70" s="24"/>
      <c r="F70" s="24"/>
      <c r="G70" s="37">
        <v>20000</v>
      </c>
      <c r="H70" s="10">
        <v>15000</v>
      </c>
      <c r="I70" s="10">
        <v>25000</v>
      </c>
      <c r="J70" s="10">
        <v>20000</v>
      </c>
      <c r="K70" s="24">
        <v>20000</v>
      </c>
      <c r="L70" s="24"/>
      <c r="M70" s="24"/>
      <c r="N70" s="24">
        <v>10000</v>
      </c>
      <c r="O70" s="24">
        <f t="shared" si="0"/>
        <v>110000</v>
      </c>
      <c r="P70" s="24">
        <f t="shared" si="1"/>
        <v>120000</v>
      </c>
      <c r="Q70" s="25">
        <f t="shared" si="4"/>
        <v>10000</v>
      </c>
      <c r="R70" s="24">
        <f t="shared" si="5"/>
        <v>-21000</v>
      </c>
      <c r="S70" s="31">
        <v>5000</v>
      </c>
      <c r="T70" s="34"/>
    </row>
    <row r="71" spans="1:20" ht="15.6" x14ac:dyDescent="0.3">
      <c r="A71" s="8">
        <v>65</v>
      </c>
      <c r="B71" s="7" t="s">
        <v>78</v>
      </c>
      <c r="C71" s="37">
        <v>-41000</v>
      </c>
      <c r="D71" s="24"/>
      <c r="E71" s="24"/>
      <c r="F71" s="24"/>
      <c r="G71" s="37">
        <v>50000</v>
      </c>
      <c r="H71" s="10"/>
      <c r="I71" s="10"/>
      <c r="J71" s="10">
        <v>20000</v>
      </c>
      <c r="K71" s="24"/>
      <c r="L71" s="24">
        <v>30000</v>
      </c>
      <c r="M71" s="24"/>
      <c r="N71" s="24">
        <v>10000</v>
      </c>
      <c r="O71" s="24">
        <f t="shared" si="0"/>
        <v>110000</v>
      </c>
      <c r="P71" s="24">
        <f t="shared" si="1"/>
        <v>100000</v>
      </c>
      <c r="Q71" s="25">
        <f t="shared" ref="Q71:Q102" si="6">+P71-O71</f>
        <v>-10000</v>
      </c>
      <c r="R71" s="24">
        <f t="shared" ref="R71:R102" si="7">+Q71+C71</f>
        <v>-51000</v>
      </c>
      <c r="S71" s="31"/>
      <c r="T71" s="34"/>
    </row>
    <row r="72" spans="1:20" ht="15.6" x14ac:dyDescent="0.3">
      <c r="A72" s="8">
        <v>66</v>
      </c>
      <c r="B72" s="7" t="s">
        <v>79</v>
      </c>
      <c r="C72" s="37">
        <v>-172000</v>
      </c>
      <c r="D72" s="24"/>
      <c r="E72" s="24"/>
      <c r="F72" s="24"/>
      <c r="H72" s="10"/>
      <c r="I72" s="10"/>
      <c r="J72" s="10"/>
      <c r="K72" s="24"/>
      <c r="L72" s="24"/>
      <c r="M72" s="24"/>
      <c r="N72" s="24">
        <v>10000</v>
      </c>
      <c r="O72" s="24">
        <f t="shared" ref="O72:O111" si="8">10000*10+N72</f>
        <v>110000</v>
      </c>
      <c r="P72" s="24">
        <f t="shared" ref="P72:P110" si="9">+D72+E72+F72+G72+H72+I72+J72+K72+L72+M72</f>
        <v>0</v>
      </c>
      <c r="Q72" s="25">
        <f t="shared" si="6"/>
        <v>-110000</v>
      </c>
      <c r="R72" s="24">
        <f t="shared" si="7"/>
        <v>-282000</v>
      </c>
      <c r="S72" s="31"/>
      <c r="T72" s="34"/>
    </row>
    <row r="73" spans="1:20" ht="15.6" x14ac:dyDescent="0.3">
      <c r="A73" s="8">
        <v>67</v>
      </c>
      <c r="B73" s="7" t="s">
        <v>80</v>
      </c>
      <c r="C73" s="37">
        <v>-30000</v>
      </c>
      <c r="D73" s="24"/>
      <c r="E73" s="24"/>
      <c r="F73" s="24">
        <v>60000</v>
      </c>
      <c r="G73" s="37"/>
      <c r="H73" s="10"/>
      <c r="I73" s="10">
        <v>20000</v>
      </c>
      <c r="J73" s="10"/>
      <c r="K73" s="24"/>
      <c r="L73" s="24">
        <v>50000</v>
      </c>
      <c r="M73" s="24"/>
      <c r="N73" s="24">
        <v>10000</v>
      </c>
      <c r="O73" s="24">
        <f t="shared" si="8"/>
        <v>110000</v>
      </c>
      <c r="P73" s="24">
        <f t="shared" si="9"/>
        <v>130000</v>
      </c>
      <c r="Q73" s="25">
        <f t="shared" si="6"/>
        <v>20000</v>
      </c>
      <c r="R73" s="24">
        <f t="shared" si="7"/>
        <v>-10000</v>
      </c>
      <c r="S73" s="31"/>
      <c r="T73" s="34"/>
    </row>
    <row r="74" spans="1:20" s="23" customFormat="1" ht="15.6" x14ac:dyDescent="0.3">
      <c r="A74" s="8">
        <v>68</v>
      </c>
      <c r="B74" s="7" t="s">
        <v>133</v>
      </c>
      <c r="C74" s="37">
        <v>-86000</v>
      </c>
      <c r="D74" s="24">
        <v>20000</v>
      </c>
      <c r="E74" s="24"/>
      <c r="F74" s="24">
        <v>20000</v>
      </c>
      <c r="G74" s="37"/>
      <c r="H74" s="24"/>
      <c r="I74" s="24"/>
      <c r="J74" s="24"/>
      <c r="K74" s="24"/>
      <c r="L74" s="24"/>
      <c r="M74" s="24">
        <v>75000</v>
      </c>
      <c r="N74" s="24">
        <v>10000</v>
      </c>
      <c r="O74" s="24">
        <f t="shared" si="8"/>
        <v>110000</v>
      </c>
      <c r="P74" s="24">
        <f t="shared" si="9"/>
        <v>115000</v>
      </c>
      <c r="Q74" s="25">
        <f t="shared" si="6"/>
        <v>5000</v>
      </c>
      <c r="R74" s="24">
        <f t="shared" si="7"/>
        <v>-81000</v>
      </c>
      <c r="S74" s="31"/>
      <c r="T74" s="34"/>
    </row>
    <row r="75" spans="1:20" ht="15.6" x14ac:dyDescent="0.3">
      <c r="A75" s="8">
        <v>69</v>
      </c>
      <c r="B75" s="7" t="s">
        <v>81</v>
      </c>
      <c r="C75" s="37">
        <v>-86000</v>
      </c>
      <c r="D75" s="24">
        <v>20000</v>
      </c>
      <c r="E75" s="24"/>
      <c r="F75" s="24">
        <v>20000</v>
      </c>
      <c r="G75" s="37"/>
      <c r="H75" s="10"/>
      <c r="I75" s="10"/>
      <c r="J75" s="10"/>
      <c r="K75" s="24"/>
      <c r="L75" s="24"/>
      <c r="M75" s="24">
        <v>75000</v>
      </c>
      <c r="N75" s="24">
        <v>10000</v>
      </c>
      <c r="O75" s="24">
        <f t="shared" si="8"/>
        <v>110000</v>
      </c>
      <c r="P75" s="24">
        <f t="shared" si="9"/>
        <v>115000</v>
      </c>
      <c r="Q75" s="25">
        <f t="shared" si="6"/>
        <v>5000</v>
      </c>
      <c r="R75" s="24">
        <f t="shared" si="7"/>
        <v>-81000</v>
      </c>
      <c r="S75" s="31"/>
      <c r="T75" s="34"/>
    </row>
    <row r="76" spans="1:20" ht="15.6" x14ac:dyDescent="0.3">
      <c r="A76" s="8">
        <v>70</v>
      </c>
      <c r="B76" s="7" t="s">
        <v>82</v>
      </c>
      <c r="C76" s="37">
        <v>-20000</v>
      </c>
      <c r="D76" s="24">
        <v>10000</v>
      </c>
      <c r="E76" s="24">
        <v>10000</v>
      </c>
      <c r="F76" s="24"/>
      <c r="G76" s="37">
        <v>40000</v>
      </c>
      <c r="H76" s="10"/>
      <c r="I76" s="10"/>
      <c r="J76" s="10"/>
      <c r="K76" s="24"/>
      <c r="L76" s="24"/>
      <c r="M76" s="24"/>
      <c r="N76" s="24">
        <v>10000</v>
      </c>
      <c r="O76" s="24">
        <f t="shared" si="8"/>
        <v>110000</v>
      </c>
      <c r="P76" s="24">
        <f t="shared" si="9"/>
        <v>60000</v>
      </c>
      <c r="Q76" s="25">
        <f t="shared" si="6"/>
        <v>-50000</v>
      </c>
      <c r="R76" s="24">
        <f t="shared" si="7"/>
        <v>-70000</v>
      </c>
      <c r="S76" s="31"/>
      <c r="T76" s="34"/>
    </row>
    <row r="77" spans="1:20" ht="15.6" x14ac:dyDescent="0.3">
      <c r="A77" s="8">
        <v>71</v>
      </c>
      <c r="B77" s="7" t="s">
        <v>83</v>
      </c>
      <c r="C77" s="37">
        <v>-21000</v>
      </c>
      <c r="D77" s="24"/>
      <c r="E77" s="24">
        <v>50000</v>
      </c>
      <c r="F77" s="24"/>
      <c r="H77" s="10"/>
      <c r="I77" s="10">
        <v>50000</v>
      </c>
      <c r="J77" s="10"/>
      <c r="K77" s="24"/>
      <c r="L77" s="24"/>
      <c r="M77" s="24"/>
      <c r="N77" s="24">
        <v>10000</v>
      </c>
      <c r="O77" s="24">
        <f t="shared" si="8"/>
        <v>110000</v>
      </c>
      <c r="P77" s="24">
        <f t="shared" si="9"/>
        <v>100000</v>
      </c>
      <c r="Q77" s="25">
        <f t="shared" si="6"/>
        <v>-10000</v>
      </c>
      <c r="R77" s="24">
        <f t="shared" si="7"/>
        <v>-31000</v>
      </c>
      <c r="S77" s="31">
        <v>5000</v>
      </c>
      <c r="T77" s="34"/>
    </row>
    <row r="78" spans="1:20" ht="15.6" x14ac:dyDescent="0.3">
      <c r="A78" s="8">
        <v>72</v>
      </c>
      <c r="B78" s="7" t="s">
        <v>84</v>
      </c>
      <c r="C78" s="37">
        <v>-70500</v>
      </c>
      <c r="D78" s="24">
        <f>30000+20000</f>
        <v>50000</v>
      </c>
      <c r="E78" s="24"/>
      <c r="F78" s="24"/>
      <c r="G78" s="37"/>
      <c r="H78" s="10"/>
      <c r="I78" s="10"/>
      <c r="J78" s="10"/>
      <c r="K78" s="24"/>
      <c r="L78" s="24"/>
      <c r="M78" s="24"/>
      <c r="N78" s="24">
        <v>10000</v>
      </c>
      <c r="O78" s="24">
        <f t="shared" si="8"/>
        <v>110000</v>
      </c>
      <c r="P78" s="24">
        <f t="shared" si="9"/>
        <v>50000</v>
      </c>
      <c r="Q78" s="25">
        <f t="shared" si="6"/>
        <v>-60000</v>
      </c>
      <c r="R78" s="24">
        <f t="shared" si="7"/>
        <v>-130500</v>
      </c>
      <c r="S78" s="31"/>
      <c r="T78" s="34"/>
    </row>
    <row r="79" spans="1:20" ht="15.6" x14ac:dyDescent="0.3">
      <c r="A79" s="8">
        <v>73</v>
      </c>
      <c r="B79" s="7" t="s">
        <v>85</v>
      </c>
      <c r="C79" s="37">
        <v>-270000</v>
      </c>
      <c r="D79" s="24"/>
      <c r="E79" s="24"/>
      <c r="F79" s="24"/>
      <c r="G79" s="37"/>
      <c r="H79" s="10"/>
      <c r="I79" s="10"/>
      <c r="J79" s="10"/>
      <c r="K79" s="24">
        <v>85000</v>
      </c>
      <c r="L79" s="24">
        <v>40000</v>
      </c>
      <c r="M79" s="24"/>
      <c r="N79" s="24">
        <v>10000</v>
      </c>
      <c r="O79" s="24">
        <f t="shared" si="8"/>
        <v>110000</v>
      </c>
      <c r="P79" s="24">
        <f t="shared" si="9"/>
        <v>125000</v>
      </c>
      <c r="Q79" s="25">
        <f t="shared" si="6"/>
        <v>15000</v>
      </c>
      <c r="R79" s="24">
        <f t="shared" si="7"/>
        <v>-255000</v>
      </c>
      <c r="S79" s="31"/>
      <c r="T79" s="34"/>
    </row>
    <row r="80" spans="1:20" ht="15.6" x14ac:dyDescent="0.3">
      <c r="A80" s="8">
        <v>74</v>
      </c>
      <c r="B80" s="7" t="s">
        <v>86</v>
      </c>
      <c r="C80" s="37">
        <v>-110000</v>
      </c>
      <c r="D80" s="24">
        <v>20000</v>
      </c>
      <c r="E80" s="24">
        <v>20000</v>
      </c>
      <c r="F80" s="24"/>
      <c r="G80" s="37"/>
      <c r="H80" s="10">
        <v>15000</v>
      </c>
      <c r="I80" s="10">
        <v>10000</v>
      </c>
      <c r="J80" s="10">
        <v>10000</v>
      </c>
      <c r="K80" s="24"/>
      <c r="L80" s="24">
        <v>20000</v>
      </c>
      <c r="M80" s="24"/>
      <c r="N80" s="24">
        <v>10000</v>
      </c>
      <c r="O80" s="24">
        <f t="shared" si="8"/>
        <v>110000</v>
      </c>
      <c r="P80" s="24">
        <f t="shared" si="9"/>
        <v>95000</v>
      </c>
      <c r="Q80" s="25">
        <f t="shared" si="6"/>
        <v>-15000</v>
      </c>
      <c r="R80" s="24">
        <f t="shared" si="7"/>
        <v>-125000</v>
      </c>
      <c r="S80" s="31">
        <v>5000</v>
      </c>
      <c r="T80" s="34"/>
    </row>
    <row r="81" spans="1:20" ht="15.6" x14ac:dyDescent="0.3">
      <c r="A81" s="8">
        <v>75</v>
      </c>
      <c r="B81" s="7" t="s">
        <v>87</v>
      </c>
      <c r="C81" s="37">
        <v>-31000</v>
      </c>
      <c r="D81" s="24"/>
      <c r="E81" s="24">
        <v>40000</v>
      </c>
      <c r="F81" s="24"/>
      <c r="G81" s="37"/>
      <c r="H81" s="10"/>
      <c r="I81" s="10"/>
      <c r="J81" s="10"/>
      <c r="K81" s="24"/>
      <c r="L81" s="24"/>
      <c r="M81" s="24"/>
      <c r="N81" s="24">
        <v>10000</v>
      </c>
      <c r="O81" s="24">
        <f t="shared" si="8"/>
        <v>110000</v>
      </c>
      <c r="P81" s="24">
        <f t="shared" si="9"/>
        <v>40000</v>
      </c>
      <c r="Q81" s="25">
        <f t="shared" si="6"/>
        <v>-70000</v>
      </c>
      <c r="R81" s="24">
        <f t="shared" si="7"/>
        <v>-101000</v>
      </c>
      <c r="S81" s="31"/>
      <c r="T81" s="34"/>
    </row>
    <row r="82" spans="1:20" ht="15.6" x14ac:dyDescent="0.3">
      <c r="A82" s="8">
        <v>76</v>
      </c>
      <c r="B82" s="7" t="s">
        <v>88</v>
      </c>
      <c r="C82" s="37">
        <v>-81000</v>
      </c>
      <c r="D82" s="24"/>
      <c r="E82" s="24"/>
      <c r="F82" s="24"/>
      <c r="G82" s="37"/>
      <c r="H82" s="10">
        <v>120000</v>
      </c>
      <c r="I82" s="10"/>
      <c r="J82" s="10"/>
      <c r="K82" s="24"/>
      <c r="L82" s="24"/>
      <c r="M82" s="24"/>
      <c r="N82" s="24">
        <v>10000</v>
      </c>
      <c r="O82" s="24">
        <f t="shared" si="8"/>
        <v>110000</v>
      </c>
      <c r="P82" s="24">
        <f t="shared" si="9"/>
        <v>120000</v>
      </c>
      <c r="Q82" s="25">
        <f t="shared" si="6"/>
        <v>10000</v>
      </c>
      <c r="R82" s="24">
        <f t="shared" si="7"/>
        <v>-71000</v>
      </c>
      <c r="S82" s="31"/>
      <c r="T82" s="34"/>
    </row>
    <row r="83" spans="1:20" ht="15.6" x14ac:dyDescent="0.3">
      <c r="A83" s="8">
        <v>77</v>
      </c>
      <c r="B83" s="7" t="s">
        <v>89</v>
      </c>
      <c r="C83" s="37">
        <v>44000</v>
      </c>
      <c r="D83" s="24"/>
      <c r="E83" s="24"/>
      <c r="F83" s="24"/>
      <c r="G83" s="37">
        <v>50000</v>
      </c>
      <c r="H83" s="10">
        <v>50000</v>
      </c>
      <c r="I83" s="10"/>
      <c r="J83" s="10"/>
      <c r="K83" s="24">
        <v>50000</v>
      </c>
      <c r="L83" s="24"/>
      <c r="M83" s="24"/>
      <c r="N83" s="24">
        <v>10000</v>
      </c>
      <c r="O83" s="24">
        <f t="shared" si="8"/>
        <v>110000</v>
      </c>
      <c r="P83" s="24">
        <f t="shared" si="9"/>
        <v>150000</v>
      </c>
      <c r="Q83" s="25">
        <f t="shared" si="6"/>
        <v>40000</v>
      </c>
      <c r="R83" s="24">
        <f t="shared" si="7"/>
        <v>84000</v>
      </c>
      <c r="S83" s="31"/>
      <c r="T83" s="34"/>
    </row>
    <row r="84" spans="1:20" ht="15.6" x14ac:dyDescent="0.3">
      <c r="A84" s="8">
        <v>78</v>
      </c>
      <c r="B84" s="7" t="s">
        <v>90</v>
      </c>
      <c r="C84" s="37">
        <v>-16000</v>
      </c>
      <c r="D84" s="24"/>
      <c r="E84" s="24"/>
      <c r="F84" s="24"/>
      <c r="G84" s="37">
        <v>50000</v>
      </c>
      <c r="H84" s="10"/>
      <c r="I84" s="10"/>
      <c r="J84" s="10"/>
      <c r="K84" s="24"/>
      <c r="L84" s="24"/>
      <c r="M84" s="24"/>
      <c r="N84" s="24">
        <v>10000</v>
      </c>
      <c r="O84" s="24">
        <f t="shared" si="8"/>
        <v>110000</v>
      </c>
      <c r="P84" s="24">
        <f t="shared" si="9"/>
        <v>50000</v>
      </c>
      <c r="Q84" s="25">
        <f t="shared" si="6"/>
        <v>-60000</v>
      </c>
      <c r="R84" s="24">
        <f t="shared" si="7"/>
        <v>-76000</v>
      </c>
      <c r="S84" s="31"/>
      <c r="T84" s="34"/>
    </row>
    <row r="85" spans="1:20" ht="15.6" x14ac:dyDescent="0.3">
      <c r="A85" s="8">
        <v>79</v>
      </c>
      <c r="B85" s="7" t="s">
        <v>91</v>
      </c>
      <c r="C85" s="37">
        <v>115000</v>
      </c>
      <c r="D85" s="24"/>
      <c r="E85" s="24"/>
      <c r="F85" s="24"/>
      <c r="G85" s="37">
        <v>120000</v>
      </c>
      <c r="H85" s="10"/>
      <c r="I85" s="10"/>
      <c r="J85" s="10"/>
      <c r="K85" s="24"/>
      <c r="L85" s="24"/>
      <c r="M85" s="24"/>
      <c r="N85" s="24">
        <v>10000</v>
      </c>
      <c r="O85" s="24">
        <f t="shared" si="8"/>
        <v>110000</v>
      </c>
      <c r="P85" s="24">
        <f t="shared" si="9"/>
        <v>120000</v>
      </c>
      <c r="Q85" s="25">
        <f t="shared" si="6"/>
        <v>10000</v>
      </c>
      <c r="R85" s="24">
        <f t="shared" si="7"/>
        <v>125000</v>
      </c>
      <c r="S85" s="31"/>
      <c r="T85" s="34"/>
    </row>
    <row r="86" spans="1:20" ht="15.6" x14ac:dyDescent="0.3">
      <c r="A86" s="8">
        <v>80</v>
      </c>
      <c r="B86" s="7" t="s">
        <v>92</v>
      </c>
      <c r="C86" s="37">
        <v>-87000</v>
      </c>
      <c r="D86" s="24"/>
      <c r="E86" s="24"/>
      <c r="F86" s="24"/>
      <c r="G86" s="37"/>
      <c r="H86" s="10">
        <v>30000</v>
      </c>
      <c r="I86" s="10"/>
      <c r="J86" s="10">
        <v>20000</v>
      </c>
      <c r="K86" s="24"/>
      <c r="L86" s="24"/>
      <c r="M86" s="24"/>
      <c r="N86" s="24">
        <v>10000</v>
      </c>
      <c r="O86" s="24">
        <f t="shared" si="8"/>
        <v>110000</v>
      </c>
      <c r="P86" s="24">
        <f t="shared" si="9"/>
        <v>50000</v>
      </c>
      <c r="Q86" s="25">
        <f t="shared" si="6"/>
        <v>-60000</v>
      </c>
      <c r="R86" s="24">
        <f t="shared" si="7"/>
        <v>-147000</v>
      </c>
      <c r="S86" s="31">
        <v>5000</v>
      </c>
      <c r="T86" s="34"/>
    </row>
    <row r="87" spans="1:20" ht="15.6" x14ac:dyDescent="0.3">
      <c r="A87" s="8">
        <v>81</v>
      </c>
      <c r="B87" s="7" t="s">
        <v>93</v>
      </c>
      <c r="C87" s="37">
        <v>-85000</v>
      </c>
      <c r="D87" s="24"/>
      <c r="E87" s="24"/>
      <c r="F87" s="24"/>
      <c r="G87" s="37"/>
      <c r="H87" s="10"/>
      <c r="I87" s="10"/>
      <c r="J87" s="10"/>
      <c r="K87" s="24"/>
      <c r="L87" s="24"/>
      <c r="M87" s="24"/>
      <c r="N87" s="24">
        <v>10000</v>
      </c>
      <c r="O87" s="24">
        <f t="shared" si="8"/>
        <v>110000</v>
      </c>
      <c r="P87" s="24">
        <f t="shared" si="9"/>
        <v>0</v>
      </c>
      <c r="Q87" s="25">
        <f t="shared" si="6"/>
        <v>-110000</v>
      </c>
      <c r="R87" s="24">
        <f t="shared" si="7"/>
        <v>-195000</v>
      </c>
      <c r="S87" s="31"/>
      <c r="T87" s="34"/>
    </row>
    <row r="88" spans="1:20" ht="15.6" x14ac:dyDescent="0.3">
      <c r="A88" s="8">
        <v>82</v>
      </c>
      <c r="B88" s="7" t="s">
        <v>94</v>
      </c>
      <c r="C88" s="37">
        <v>-182000</v>
      </c>
      <c r="D88" s="24"/>
      <c r="E88" s="24"/>
      <c r="F88" s="24"/>
      <c r="G88" s="37"/>
      <c r="H88" s="10"/>
      <c r="I88" s="10"/>
      <c r="J88" s="10">
        <v>50000</v>
      </c>
      <c r="K88" s="24"/>
      <c r="L88" s="24"/>
      <c r="M88" s="24"/>
      <c r="N88" s="24">
        <v>10000</v>
      </c>
      <c r="O88" s="24">
        <f t="shared" si="8"/>
        <v>110000</v>
      </c>
      <c r="P88" s="24">
        <f t="shared" si="9"/>
        <v>50000</v>
      </c>
      <c r="Q88" s="25">
        <f t="shared" si="6"/>
        <v>-60000</v>
      </c>
      <c r="R88" s="24">
        <f t="shared" si="7"/>
        <v>-242000</v>
      </c>
      <c r="S88" s="31"/>
      <c r="T88" s="34"/>
    </row>
    <row r="89" spans="1:20" ht="15.6" x14ac:dyDescent="0.3">
      <c r="A89" s="8">
        <v>83</v>
      </c>
      <c r="B89" s="7" t="s">
        <v>95</v>
      </c>
      <c r="C89" s="37">
        <v>-17000</v>
      </c>
      <c r="D89" s="24"/>
      <c r="E89" s="24">
        <v>20000</v>
      </c>
      <c r="F89" s="24"/>
      <c r="G89" s="37">
        <v>30000</v>
      </c>
      <c r="H89" s="10"/>
      <c r="I89" s="10">
        <v>30000</v>
      </c>
      <c r="J89" s="10">
        <v>20000</v>
      </c>
      <c r="K89" s="24"/>
      <c r="L89" s="24"/>
      <c r="M89" s="24"/>
      <c r="N89" s="24">
        <v>10000</v>
      </c>
      <c r="O89" s="24">
        <f t="shared" si="8"/>
        <v>110000</v>
      </c>
      <c r="P89" s="24">
        <f t="shared" si="9"/>
        <v>100000</v>
      </c>
      <c r="Q89" s="25">
        <f t="shared" si="6"/>
        <v>-10000</v>
      </c>
      <c r="R89" s="24">
        <f t="shared" si="7"/>
        <v>-27000</v>
      </c>
      <c r="S89" s="31"/>
      <c r="T89" s="34"/>
    </row>
    <row r="90" spans="1:20" ht="15.6" x14ac:dyDescent="0.3">
      <c r="A90" s="8">
        <v>84</v>
      </c>
      <c r="B90" s="7" t="s">
        <v>96</v>
      </c>
      <c r="C90" s="37">
        <v>-39000</v>
      </c>
      <c r="D90" s="24"/>
      <c r="E90" s="24"/>
      <c r="F90" s="24"/>
      <c r="G90" s="37">
        <v>30000</v>
      </c>
      <c r="H90" s="10">
        <v>15000</v>
      </c>
      <c r="I90" s="10"/>
      <c r="J90" s="10"/>
      <c r="K90" s="24"/>
      <c r="L90" s="24">
        <v>20000</v>
      </c>
      <c r="M90" s="24"/>
      <c r="N90" s="24">
        <v>10000</v>
      </c>
      <c r="O90" s="24">
        <f t="shared" si="8"/>
        <v>110000</v>
      </c>
      <c r="P90" s="24">
        <f t="shared" si="9"/>
        <v>65000</v>
      </c>
      <c r="Q90" s="25">
        <f t="shared" si="6"/>
        <v>-45000</v>
      </c>
      <c r="R90" s="24">
        <f t="shared" si="7"/>
        <v>-84000</v>
      </c>
      <c r="S90" s="31">
        <v>5000</v>
      </c>
      <c r="T90" s="34"/>
    </row>
    <row r="91" spans="1:20" ht="15.6" x14ac:dyDescent="0.3">
      <c r="A91" s="8">
        <v>85</v>
      </c>
      <c r="B91" s="7" t="s">
        <v>97</v>
      </c>
      <c r="C91" s="37">
        <v>-3000</v>
      </c>
      <c r="D91" s="24"/>
      <c r="E91" s="24">
        <v>50000</v>
      </c>
      <c r="F91" s="24">
        <v>20000</v>
      </c>
      <c r="H91" s="10">
        <v>10000</v>
      </c>
      <c r="I91" s="10">
        <v>20000</v>
      </c>
      <c r="J91" s="10"/>
      <c r="K91" s="24"/>
      <c r="L91" s="24"/>
      <c r="M91" s="24"/>
      <c r="N91" s="24">
        <v>10000</v>
      </c>
      <c r="O91" s="24">
        <f t="shared" si="8"/>
        <v>110000</v>
      </c>
      <c r="P91" s="24">
        <f t="shared" si="9"/>
        <v>100000</v>
      </c>
      <c r="Q91" s="25">
        <f t="shared" si="6"/>
        <v>-10000</v>
      </c>
      <c r="R91" s="24">
        <f t="shared" si="7"/>
        <v>-13000</v>
      </c>
      <c r="S91" s="31">
        <v>5000</v>
      </c>
      <c r="T91" s="34"/>
    </row>
    <row r="92" spans="1:20" ht="15.6" x14ac:dyDescent="0.3">
      <c r="A92" s="8">
        <v>86</v>
      </c>
      <c r="B92" s="7" t="s">
        <v>98</v>
      </c>
      <c r="C92" s="37">
        <v>-95000</v>
      </c>
      <c r="D92" s="24"/>
      <c r="E92" s="24"/>
      <c r="F92" s="24"/>
      <c r="G92" s="37"/>
      <c r="H92" s="10"/>
      <c r="I92" s="10"/>
      <c r="J92" s="10"/>
      <c r="K92" s="24"/>
      <c r="L92" s="24"/>
      <c r="M92" s="24"/>
      <c r="N92" s="24">
        <v>10000</v>
      </c>
      <c r="O92" s="24">
        <f t="shared" si="8"/>
        <v>110000</v>
      </c>
      <c r="P92" s="24">
        <f t="shared" si="9"/>
        <v>0</v>
      </c>
      <c r="Q92" s="25">
        <f t="shared" si="6"/>
        <v>-110000</v>
      </c>
      <c r="R92" s="24">
        <f t="shared" si="7"/>
        <v>-205000</v>
      </c>
      <c r="S92" s="31"/>
      <c r="T92" s="34"/>
    </row>
    <row r="93" spans="1:20" ht="15.6" x14ac:dyDescent="0.3">
      <c r="A93" s="8">
        <v>87</v>
      </c>
      <c r="B93" s="7" t="s">
        <v>99</v>
      </c>
      <c r="C93" s="37">
        <v>-195000</v>
      </c>
      <c r="D93" s="24">
        <v>200000</v>
      </c>
      <c r="E93" s="24"/>
      <c r="F93" s="24"/>
      <c r="G93" s="37"/>
      <c r="H93" s="10"/>
      <c r="I93" s="10"/>
      <c r="J93" s="10"/>
      <c r="K93" s="24"/>
      <c r="L93" s="24"/>
      <c r="M93" s="24"/>
      <c r="N93" s="24">
        <v>10000</v>
      </c>
      <c r="O93" s="24">
        <f t="shared" si="8"/>
        <v>110000</v>
      </c>
      <c r="P93" s="24">
        <f t="shared" si="9"/>
        <v>200000</v>
      </c>
      <c r="Q93" s="25">
        <f t="shared" si="6"/>
        <v>90000</v>
      </c>
      <c r="R93" s="24">
        <f t="shared" si="7"/>
        <v>-105000</v>
      </c>
      <c r="S93" s="31"/>
      <c r="T93" s="34"/>
    </row>
    <row r="94" spans="1:20" ht="15.6" x14ac:dyDescent="0.3">
      <c r="A94" s="8">
        <v>88</v>
      </c>
      <c r="B94" s="7" t="s">
        <v>100</v>
      </c>
      <c r="C94" s="37">
        <v>-51000</v>
      </c>
      <c r="D94" s="24"/>
      <c r="E94" s="24"/>
      <c r="F94" s="24">
        <v>10000</v>
      </c>
      <c r="G94" s="37"/>
      <c r="H94" s="10">
        <v>30000</v>
      </c>
      <c r="I94" s="10"/>
      <c r="J94" s="10"/>
      <c r="K94" s="24">
        <v>10000</v>
      </c>
      <c r="L94" s="24">
        <v>10000</v>
      </c>
      <c r="M94" s="24"/>
      <c r="N94" s="24">
        <v>10000</v>
      </c>
      <c r="O94" s="24">
        <f t="shared" si="8"/>
        <v>110000</v>
      </c>
      <c r="P94" s="24">
        <f t="shared" si="9"/>
        <v>60000</v>
      </c>
      <c r="Q94" s="25">
        <f t="shared" si="6"/>
        <v>-50000</v>
      </c>
      <c r="R94" s="24">
        <f t="shared" si="7"/>
        <v>-101000</v>
      </c>
      <c r="S94" s="31">
        <v>5000</v>
      </c>
      <c r="T94" s="34"/>
    </row>
    <row r="95" spans="1:20" ht="15.6" x14ac:dyDescent="0.3">
      <c r="A95" s="8">
        <v>89</v>
      </c>
      <c r="B95" s="7" t="s">
        <v>101</v>
      </c>
      <c r="C95" s="37">
        <v>-16000</v>
      </c>
      <c r="D95" s="24">
        <v>10000</v>
      </c>
      <c r="E95" s="24">
        <v>20000</v>
      </c>
      <c r="F95" s="24"/>
      <c r="G95" s="37">
        <v>20000</v>
      </c>
      <c r="H95" s="10">
        <v>20000</v>
      </c>
      <c r="I95" s="10">
        <v>20000</v>
      </c>
      <c r="J95" s="10">
        <f>10000+5000</f>
        <v>15000</v>
      </c>
      <c r="K95" s="24">
        <v>15000</v>
      </c>
      <c r="L95" s="24"/>
      <c r="M95" s="24"/>
      <c r="N95" s="24">
        <v>10000</v>
      </c>
      <c r="O95" s="24">
        <f t="shared" si="8"/>
        <v>110000</v>
      </c>
      <c r="P95" s="24">
        <f t="shared" si="9"/>
        <v>120000</v>
      </c>
      <c r="Q95" s="25">
        <f t="shared" si="6"/>
        <v>10000</v>
      </c>
      <c r="R95" s="24">
        <f t="shared" si="7"/>
        <v>-6000</v>
      </c>
      <c r="S95" s="31">
        <v>5000</v>
      </c>
      <c r="T95" s="34"/>
    </row>
    <row r="96" spans="1:20" ht="15.6" x14ac:dyDescent="0.3">
      <c r="A96" s="8">
        <v>90</v>
      </c>
      <c r="B96" s="7" t="s">
        <v>102</v>
      </c>
      <c r="C96" s="37">
        <v>-47000</v>
      </c>
      <c r="D96" s="24">
        <v>100000</v>
      </c>
      <c r="E96" s="24"/>
      <c r="F96" s="24"/>
      <c r="H96" s="10"/>
      <c r="I96" s="10"/>
      <c r="J96" s="10"/>
      <c r="K96" s="24"/>
      <c r="L96" s="24"/>
      <c r="M96" s="24"/>
      <c r="N96" s="24">
        <v>10000</v>
      </c>
      <c r="O96" s="24">
        <f t="shared" si="8"/>
        <v>110000</v>
      </c>
      <c r="P96" s="24">
        <f t="shared" si="9"/>
        <v>100000</v>
      </c>
      <c r="Q96" s="25">
        <f t="shared" si="6"/>
        <v>-10000</v>
      </c>
      <c r="R96" s="24">
        <f t="shared" si="7"/>
        <v>-57000</v>
      </c>
      <c r="S96" s="31"/>
      <c r="T96" s="34"/>
    </row>
    <row r="97" spans="1:20" ht="15.6" x14ac:dyDescent="0.3">
      <c r="A97" s="8">
        <v>91</v>
      </c>
      <c r="B97" s="7" t="s">
        <v>103</v>
      </c>
      <c r="C97" s="37">
        <v>8000</v>
      </c>
      <c r="D97" s="24">
        <v>60000</v>
      </c>
      <c r="E97" s="24"/>
      <c r="F97" s="24"/>
      <c r="G97" s="37"/>
      <c r="H97" s="10"/>
      <c r="I97" s="10"/>
      <c r="J97" s="10"/>
      <c r="K97" s="24"/>
      <c r="L97" s="24">
        <v>60000</v>
      </c>
      <c r="M97" s="24"/>
      <c r="N97" s="24">
        <v>10000</v>
      </c>
      <c r="O97" s="24">
        <f t="shared" si="8"/>
        <v>110000</v>
      </c>
      <c r="P97" s="24">
        <f t="shared" si="9"/>
        <v>120000</v>
      </c>
      <c r="Q97" s="25">
        <f t="shared" si="6"/>
        <v>10000</v>
      </c>
      <c r="R97" s="24">
        <f t="shared" si="7"/>
        <v>18000</v>
      </c>
      <c r="S97" s="31"/>
      <c r="T97" s="34"/>
    </row>
    <row r="98" spans="1:20" ht="15.6" x14ac:dyDescent="0.3">
      <c r="A98" s="8">
        <v>92</v>
      </c>
      <c r="B98" s="7" t="s">
        <v>104</v>
      </c>
      <c r="C98" s="37">
        <v>-322000</v>
      </c>
      <c r="D98" s="24"/>
      <c r="E98" s="24"/>
      <c r="F98" s="24"/>
      <c r="G98" s="37"/>
      <c r="H98" s="10"/>
      <c r="I98" s="10"/>
      <c r="J98" s="10"/>
      <c r="K98" s="24"/>
      <c r="L98" s="24"/>
      <c r="M98" s="24"/>
      <c r="N98" s="24">
        <v>10000</v>
      </c>
      <c r="O98" s="24">
        <f t="shared" si="8"/>
        <v>110000</v>
      </c>
      <c r="P98" s="24">
        <f t="shared" si="9"/>
        <v>0</v>
      </c>
      <c r="Q98" s="25">
        <f t="shared" si="6"/>
        <v>-110000</v>
      </c>
      <c r="R98" s="24">
        <f t="shared" si="7"/>
        <v>-432000</v>
      </c>
      <c r="S98" s="31"/>
      <c r="T98" s="34"/>
    </row>
    <row r="99" spans="1:20" ht="15.6" x14ac:dyDescent="0.3">
      <c r="A99" s="8">
        <v>93</v>
      </c>
      <c r="B99" s="7" t="s">
        <v>105</v>
      </c>
      <c r="C99" s="37">
        <v>-15000</v>
      </c>
      <c r="D99" s="24"/>
      <c r="E99" s="24">
        <v>50000</v>
      </c>
      <c r="F99" s="21"/>
      <c r="G99" s="37"/>
      <c r="H99" s="21"/>
      <c r="I99" s="21">
        <v>70000</v>
      </c>
      <c r="J99" s="21"/>
      <c r="K99" s="21"/>
      <c r="L99" s="21"/>
      <c r="M99" s="21"/>
      <c r="N99" s="24">
        <v>10000</v>
      </c>
      <c r="O99" s="24">
        <f t="shared" si="8"/>
        <v>110000</v>
      </c>
      <c r="P99" s="24">
        <f t="shared" si="9"/>
        <v>120000</v>
      </c>
      <c r="Q99" s="25">
        <f t="shared" si="6"/>
        <v>10000</v>
      </c>
      <c r="R99" s="24">
        <f t="shared" si="7"/>
        <v>-5000</v>
      </c>
      <c r="S99" s="31">
        <v>5000</v>
      </c>
      <c r="T99" s="34"/>
    </row>
    <row r="100" spans="1:20" ht="15.6" x14ac:dyDescent="0.3">
      <c r="A100" s="8">
        <v>94</v>
      </c>
      <c r="B100" s="7" t="s">
        <v>106</v>
      </c>
      <c r="C100" s="37">
        <v>-10000</v>
      </c>
      <c r="D100" s="24">
        <v>40000</v>
      </c>
      <c r="E100" s="24"/>
      <c r="F100" s="24"/>
      <c r="G100" s="37">
        <v>10000</v>
      </c>
      <c r="H100" s="10"/>
      <c r="I100" s="10"/>
      <c r="J100" s="10">
        <v>20000</v>
      </c>
      <c r="K100" s="24">
        <v>30000</v>
      </c>
      <c r="L100" s="24"/>
      <c r="M100" s="24"/>
      <c r="N100" s="24">
        <v>10000</v>
      </c>
      <c r="O100" s="24">
        <f t="shared" si="8"/>
        <v>110000</v>
      </c>
      <c r="P100" s="24">
        <f t="shared" si="9"/>
        <v>100000</v>
      </c>
      <c r="Q100" s="25">
        <f t="shared" si="6"/>
        <v>-10000</v>
      </c>
      <c r="R100" s="24">
        <f t="shared" si="7"/>
        <v>-20000</v>
      </c>
      <c r="S100" s="31">
        <v>5000</v>
      </c>
      <c r="T100" s="34"/>
    </row>
    <row r="101" spans="1:20" ht="15.6" x14ac:dyDescent="0.3">
      <c r="A101" s="8">
        <v>95</v>
      </c>
      <c r="B101" s="7" t="s">
        <v>107</v>
      </c>
      <c r="C101" s="37">
        <v>-159000</v>
      </c>
      <c r="D101" s="24"/>
      <c r="E101" s="24"/>
      <c r="F101" s="24"/>
      <c r="H101" s="10"/>
      <c r="I101" s="10"/>
      <c r="J101" s="10"/>
      <c r="K101" s="24">
        <v>50000</v>
      </c>
      <c r="L101" s="24"/>
      <c r="M101" s="24"/>
      <c r="N101" s="24">
        <v>10000</v>
      </c>
      <c r="O101" s="24">
        <f t="shared" si="8"/>
        <v>110000</v>
      </c>
      <c r="P101" s="24">
        <f t="shared" si="9"/>
        <v>50000</v>
      </c>
      <c r="Q101" s="25">
        <f t="shared" si="6"/>
        <v>-60000</v>
      </c>
      <c r="R101" s="24">
        <f t="shared" si="7"/>
        <v>-219000</v>
      </c>
      <c r="S101" s="31"/>
      <c r="T101" s="34"/>
    </row>
    <row r="102" spans="1:20" ht="15.6" x14ac:dyDescent="0.3">
      <c r="A102" s="8">
        <v>96</v>
      </c>
      <c r="B102" s="7" t="s">
        <v>108</v>
      </c>
      <c r="C102" s="37">
        <v>-61000</v>
      </c>
      <c r="D102" s="24"/>
      <c r="E102" s="24"/>
      <c r="F102" s="24">
        <v>10000</v>
      </c>
      <c r="G102" s="37">
        <v>10000</v>
      </c>
      <c r="H102" s="10"/>
      <c r="I102" s="10"/>
      <c r="J102" s="10">
        <v>20000</v>
      </c>
      <c r="K102" s="24">
        <v>10000</v>
      </c>
      <c r="L102" s="24"/>
      <c r="M102" s="24"/>
      <c r="N102" s="24">
        <v>10000</v>
      </c>
      <c r="O102" s="24">
        <f t="shared" si="8"/>
        <v>110000</v>
      </c>
      <c r="P102" s="24">
        <f t="shared" si="9"/>
        <v>50000</v>
      </c>
      <c r="Q102" s="25">
        <f t="shared" si="6"/>
        <v>-60000</v>
      </c>
      <c r="R102" s="24">
        <f t="shared" si="7"/>
        <v>-121000</v>
      </c>
      <c r="S102" s="31"/>
      <c r="T102" s="34"/>
    </row>
    <row r="103" spans="1:20" ht="15.6" x14ac:dyDescent="0.3">
      <c r="A103" s="8">
        <v>97</v>
      </c>
      <c r="B103" s="7" t="s">
        <v>109</v>
      </c>
      <c r="C103" s="37">
        <v>-2000</v>
      </c>
      <c r="D103" s="24"/>
      <c r="E103" s="24"/>
      <c r="F103" s="24"/>
      <c r="H103" s="10"/>
      <c r="I103" s="10">
        <v>60000</v>
      </c>
      <c r="J103" s="10"/>
      <c r="K103" s="24"/>
      <c r="L103" s="24"/>
      <c r="M103" s="24"/>
      <c r="N103" s="24">
        <v>10000</v>
      </c>
      <c r="O103" s="24">
        <f t="shared" si="8"/>
        <v>110000</v>
      </c>
      <c r="P103" s="24">
        <f t="shared" si="9"/>
        <v>60000</v>
      </c>
      <c r="Q103" s="25">
        <f t="shared" ref="Q103:Q111" si="10">+P103-O103</f>
        <v>-50000</v>
      </c>
      <c r="R103" s="24">
        <f t="shared" ref="R103:R111" si="11">+Q103+C103</f>
        <v>-52000</v>
      </c>
      <c r="S103" s="31"/>
      <c r="T103" s="34"/>
    </row>
    <row r="104" spans="1:20" ht="15.6" x14ac:dyDescent="0.3">
      <c r="A104" s="8">
        <v>98</v>
      </c>
      <c r="B104" s="7" t="s">
        <v>110</v>
      </c>
      <c r="C104" s="37">
        <v>-117000</v>
      </c>
      <c r="D104" s="24">
        <v>10000</v>
      </c>
      <c r="E104" s="24">
        <v>10000</v>
      </c>
      <c r="F104" s="24"/>
      <c r="G104" s="37"/>
      <c r="H104" s="10"/>
      <c r="I104" s="10"/>
      <c r="J104" s="10"/>
      <c r="K104" s="24"/>
      <c r="L104" s="24"/>
      <c r="M104" s="24"/>
      <c r="N104" s="24">
        <v>10000</v>
      </c>
      <c r="O104" s="24">
        <f t="shared" si="8"/>
        <v>110000</v>
      </c>
      <c r="P104" s="24">
        <f t="shared" si="9"/>
        <v>20000</v>
      </c>
      <c r="Q104" s="25">
        <f t="shared" si="10"/>
        <v>-90000</v>
      </c>
      <c r="R104" s="24">
        <f t="shared" si="11"/>
        <v>-207000</v>
      </c>
      <c r="S104" s="31"/>
      <c r="T104" s="34"/>
    </row>
    <row r="105" spans="1:20" ht="15.6" x14ac:dyDescent="0.3">
      <c r="A105" s="8">
        <v>99</v>
      </c>
      <c r="B105" s="7" t="s">
        <v>111</v>
      </c>
      <c r="C105" s="37">
        <v>-41000</v>
      </c>
      <c r="D105" s="24">
        <v>20000</v>
      </c>
      <c r="E105" s="24"/>
      <c r="F105" s="24"/>
      <c r="G105" s="37">
        <v>10000</v>
      </c>
      <c r="H105" s="10"/>
      <c r="I105" s="10"/>
      <c r="J105" s="10">
        <v>30000</v>
      </c>
      <c r="K105" s="24"/>
      <c r="L105" s="24">
        <v>20000</v>
      </c>
      <c r="M105" s="24"/>
      <c r="N105" s="24">
        <v>10000</v>
      </c>
      <c r="O105" s="24">
        <f t="shared" si="8"/>
        <v>110000</v>
      </c>
      <c r="P105" s="24">
        <f t="shared" si="9"/>
        <v>80000</v>
      </c>
      <c r="Q105" s="25">
        <f t="shared" si="10"/>
        <v>-30000</v>
      </c>
      <c r="R105" s="24">
        <f t="shared" si="11"/>
        <v>-71000</v>
      </c>
      <c r="S105" s="31"/>
      <c r="T105" s="34"/>
    </row>
    <row r="106" spans="1:20" ht="15.6" x14ac:dyDescent="0.3">
      <c r="A106" s="8">
        <v>100</v>
      </c>
      <c r="B106" s="7" t="s">
        <v>112</v>
      </c>
      <c r="C106" s="37">
        <v>-125000</v>
      </c>
      <c r="D106" s="24">
        <v>10000</v>
      </c>
      <c r="E106" s="24"/>
      <c r="F106" s="24"/>
      <c r="G106" s="37">
        <v>40000</v>
      </c>
      <c r="H106" s="10"/>
      <c r="I106" s="10"/>
      <c r="J106" s="10"/>
      <c r="K106" s="24">
        <v>50000</v>
      </c>
      <c r="L106" s="24"/>
      <c r="M106" s="24"/>
      <c r="N106" s="24">
        <v>10000</v>
      </c>
      <c r="O106" s="24">
        <f t="shared" si="8"/>
        <v>110000</v>
      </c>
      <c r="P106" s="24">
        <f t="shared" si="9"/>
        <v>100000</v>
      </c>
      <c r="Q106" s="25">
        <f t="shared" si="10"/>
        <v>-10000</v>
      </c>
      <c r="R106" s="24">
        <f t="shared" si="11"/>
        <v>-135000</v>
      </c>
      <c r="S106" s="31"/>
      <c r="T106" s="34"/>
    </row>
    <row r="107" spans="1:20" ht="15.6" x14ac:dyDescent="0.3">
      <c r="A107" s="8">
        <v>101</v>
      </c>
      <c r="B107" s="7" t="s">
        <v>113</v>
      </c>
      <c r="C107" s="37">
        <v>-61000</v>
      </c>
      <c r="D107" s="24">
        <v>20000</v>
      </c>
      <c r="E107" s="24"/>
      <c r="F107" s="24">
        <v>30000</v>
      </c>
      <c r="G107" s="42">
        <v>30000</v>
      </c>
      <c r="H107" s="10"/>
      <c r="I107" s="10">
        <v>20000</v>
      </c>
      <c r="J107" s="10">
        <v>20000</v>
      </c>
      <c r="K107" s="24">
        <v>20000</v>
      </c>
      <c r="L107" s="24"/>
      <c r="M107" s="24"/>
      <c r="N107" s="24">
        <v>10000</v>
      </c>
      <c r="O107" s="24">
        <f t="shared" si="8"/>
        <v>110000</v>
      </c>
      <c r="P107" s="24">
        <f t="shared" si="9"/>
        <v>140000</v>
      </c>
      <c r="Q107" s="25">
        <f t="shared" si="10"/>
        <v>30000</v>
      </c>
      <c r="R107" s="24">
        <f t="shared" si="11"/>
        <v>-31000</v>
      </c>
      <c r="S107" s="31"/>
      <c r="T107" s="34"/>
    </row>
    <row r="108" spans="1:20" ht="15.6" x14ac:dyDescent="0.3">
      <c r="A108" s="8">
        <v>102</v>
      </c>
      <c r="B108" s="7" t="s">
        <v>114</v>
      </c>
      <c r="C108" s="37">
        <v>-21000</v>
      </c>
      <c r="D108" s="24"/>
      <c r="E108" s="24">
        <v>60000</v>
      </c>
      <c r="F108" s="24"/>
      <c r="G108" s="37">
        <v>30000</v>
      </c>
      <c r="H108" s="10"/>
      <c r="I108" s="10">
        <v>60000</v>
      </c>
      <c r="J108" s="10"/>
      <c r="K108" s="24"/>
      <c r="L108" s="24"/>
      <c r="M108" s="24"/>
      <c r="N108" s="24">
        <v>10000</v>
      </c>
      <c r="O108" s="24">
        <f t="shared" si="8"/>
        <v>110000</v>
      </c>
      <c r="P108" s="24">
        <f t="shared" si="9"/>
        <v>150000</v>
      </c>
      <c r="Q108" s="25">
        <f t="shared" si="10"/>
        <v>40000</v>
      </c>
      <c r="R108" s="24">
        <f t="shared" si="11"/>
        <v>19000</v>
      </c>
      <c r="S108" s="31">
        <v>5000</v>
      </c>
      <c r="T108" s="34"/>
    </row>
    <row r="109" spans="1:20" ht="15.6" x14ac:dyDescent="0.3">
      <c r="A109" s="8">
        <v>103</v>
      </c>
      <c r="B109" s="7" t="s">
        <v>115</v>
      </c>
      <c r="C109" s="37">
        <v>-31000</v>
      </c>
      <c r="D109" s="19"/>
      <c r="E109" s="19"/>
      <c r="F109" s="19">
        <v>40000</v>
      </c>
      <c r="H109" s="19">
        <v>5000</v>
      </c>
      <c r="I109" s="19">
        <v>12000</v>
      </c>
      <c r="J109" s="19">
        <f>50000+5000</f>
        <v>55000</v>
      </c>
      <c r="K109" s="19">
        <v>10000</v>
      </c>
      <c r="L109" s="19"/>
      <c r="M109" s="19"/>
      <c r="N109" s="24">
        <v>10000</v>
      </c>
      <c r="O109" s="24">
        <f t="shared" si="8"/>
        <v>110000</v>
      </c>
      <c r="P109" s="24">
        <f t="shared" si="9"/>
        <v>122000</v>
      </c>
      <c r="Q109" s="25">
        <f t="shared" si="10"/>
        <v>12000</v>
      </c>
      <c r="R109" s="24">
        <f t="shared" si="11"/>
        <v>-19000</v>
      </c>
      <c r="S109" s="31">
        <v>5000</v>
      </c>
      <c r="T109" s="34"/>
    </row>
    <row r="110" spans="1:20" ht="15.6" x14ac:dyDescent="0.3">
      <c r="A110" s="8">
        <v>104</v>
      </c>
      <c r="B110" s="7" t="s">
        <v>116</v>
      </c>
      <c r="C110" s="37">
        <v>-71000</v>
      </c>
      <c r="D110" s="24"/>
      <c r="E110" s="24"/>
      <c r="F110" s="24"/>
      <c r="G110" s="40"/>
      <c r="H110" s="10"/>
      <c r="I110" s="10"/>
      <c r="J110" s="10">
        <v>30000</v>
      </c>
      <c r="K110" s="24">
        <v>40000</v>
      </c>
      <c r="L110" s="24">
        <v>10000</v>
      </c>
      <c r="M110" s="24"/>
      <c r="N110" s="24">
        <v>10000</v>
      </c>
      <c r="O110" s="24">
        <f t="shared" si="8"/>
        <v>110000</v>
      </c>
      <c r="P110" s="24">
        <f t="shared" si="9"/>
        <v>80000</v>
      </c>
      <c r="Q110" s="25">
        <f t="shared" si="10"/>
        <v>-30000</v>
      </c>
      <c r="R110" s="24">
        <f t="shared" si="11"/>
        <v>-101000</v>
      </c>
      <c r="S110" s="31"/>
      <c r="T110" s="34"/>
    </row>
    <row r="111" spans="1:20" ht="15.6" x14ac:dyDescent="0.3">
      <c r="A111" s="8">
        <v>105</v>
      </c>
      <c r="B111" s="7" t="s">
        <v>117</v>
      </c>
      <c r="C111" s="37">
        <v>-12000</v>
      </c>
      <c r="D111" s="24"/>
      <c r="E111" s="24"/>
      <c r="F111" s="24"/>
      <c r="G111" s="37"/>
      <c r="H111" s="10"/>
      <c r="I111" s="10"/>
      <c r="J111" s="10"/>
      <c r="K111" s="24"/>
      <c r="L111" s="24"/>
      <c r="M111" s="24"/>
      <c r="N111" s="24">
        <v>10000</v>
      </c>
      <c r="O111" s="24">
        <f t="shared" si="8"/>
        <v>110000</v>
      </c>
      <c r="P111" s="24">
        <f>+D111+E111+F111+G111+H111+I111+J111+K111+L111+M111</f>
        <v>0</v>
      </c>
      <c r="Q111" s="25">
        <f t="shared" si="10"/>
        <v>-110000</v>
      </c>
      <c r="R111" s="24">
        <f t="shared" si="11"/>
        <v>-122000</v>
      </c>
      <c r="S111" s="31"/>
      <c r="T111" s="34"/>
    </row>
    <row r="112" spans="1:20" ht="18" x14ac:dyDescent="0.35">
      <c r="A112" s="22" t="s">
        <v>118</v>
      </c>
      <c r="B112" s="22"/>
      <c r="C112" s="27">
        <f t="shared" ref="C112:S112" si="12">SUM(C7:C111)</f>
        <v>-6030500</v>
      </c>
      <c r="D112" s="27">
        <f t="shared" si="12"/>
        <v>720000</v>
      </c>
      <c r="E112" s="27">
        <f t="shared" si="12"/>
        <v>780000</v>
      </c>
      <c r="F112" s="27">
        <f t="shared" si="12"/>
        <v>810000</v>
      </c>
      <c r="G112" s="27">
        <f t="shared" si="12"/>
        <v>1380000</v>
      </c>
      <c r="H112" s="27">
        <f t="shared" si="12"/>
        <v>765000</v>
      </c>
      <c r="I112" s="27">
        <f t="shared" si="12"/>
        <v>962000</v>
      </c>
      <c r="J112" s="27">
        <f t="shared" si="12"/>
        <v>650000</v>
      </c>
      <c r="K112" s="27">
        <f t="shared" ref="K112" si="13">SUM(K7:K111)</f>
        <v>993000</v>
      </c>
      <c r="L112" s="27">
        <f t="shared" ref="L112:M112" si="14">SUM(L7:L111)</f>
        <v>624000</v>
      </c>
      <c r="M112" s="27">
        <f t="shared" si="14"/>
        <v>180000</v>
      </c>
      <c r="N112" s="27">
        <f t="shared" si="12"/>
        <v>1050000</v>
      </c>
      <c r="O112" s="27">
        <f t="shared" si="12"/>
        <v>11550000</v>
      </c>
      <c r="P112" s="27">
        <f t="shared" si="12"/>
        <v>7864000</v>
      </c>
      <c r="Q112" s="27">
        <f t="shared" si="12"/>
        <v>-3686000</v>
      </c>
      <c r="R112" s="27">
        <f t="shared" si="12"/>
        <v>-9716500</v>
      </c>
      <c r="S112" s="27">
        <f t="shared" si="12"/>
        <v>150000</v>
      </c>
      <c r="T112" s="35"/>
    </row>
    <row r="113" spans="1:20" x14ac:dyDescent="0.3">
      <c r="A113" s="1"/>
      <c r="B113" s="1"/>
      <c r="D113" s="1"/>
      <c r="E113" s="1"/>
      <c r="F113" s="1"/>
      <c r="G113" s="1"/>
      <c r="H113" s="1"/>
      <c r="I113" s="1"/>
      <c r="J113" s="1"/>
      <c r="O113" s="1"/>
      <c r="P113" s="1"/>
      <c r="Q113" s="1"/>
      <c r="R113" s="1"/>
      <c r="T113" s="35"/>
    </row>
    <row r="114" spans="1:20" ht="22.2" customHeight="1" x14ac:dyDescent="0.3">
      <c r="A114" s="13" t="s">
        <v>159</v>
      </c>
      <c r="B114" s="14"/>
      <c r="C114" s="18"/>
      <c r="D114" s="18"/>
      <c r="E114" s="17"/>
      <c r="F114" s="17"/>
      <c r="G114" s="17"/>
      <c r="H114" s="17"/>
      <c r="I114" s="17"/>
      <c r="J114" s="17"/>
      <c r="K114" s="17"/>
      <c r="L114" s="17"/>
      <c r="M114" s="17"/>
      <c r="N114" s="11"/>
      <c r="O114" s="11"/>
      <c r="P114" s="11"/>
      <c r="Q114" s="11"/>
      <c r="R114" s="11"/>
      <c r="T114" s="35"/>
    </row>
    <row r="115" spans="1:20" ht="15.6" customHeight="1" x14ac:dyDescent="0.3">
      <c r="A115" s="50" t="s">
        <v>2</v>
      </c>
      <c r="B115" s="50" t="s">
        <v>3</v>
      </c>
      <c r="C115" s="47" t="s">
        <v>137</v>
      </c>
      <c r="D115" s="47" t="s">
        <v>4</v>
      </c>
      <c r="E115" s="47" t="s">
        <v>5</v>
      </c>
      <c r="F115" s="45" t="s">
        <v>6</v>
      </c>
      <c r="G115" s="45" t="s">
        <v>7</v>
      </c>
      <c r="H115" s="45" t="s">
        <v>8</v>
      </c>
      <c r="I115" s="45" t="s">
        <v>9</v>
      </c>
      <c r="J115" s="45" t="s">
        <v>10</v>
      </c>
      <c r="K115" s="45" t="s">
        <v>160</v>
      </c>
      <c r="L115" s="45" t="s">
        <v>156</v>
      </c>
      <c r="M115" s="45" t="s">
        <v>157</v>
      </c>
      <c r="N115" s="45" t="s">
        <v>142</v>
      </c>
      <c r="O115" s="47" t="s">
        <v>11</v>
      </c>
      <c r="P115" s="47" t="s">
        <v>12</v>
      </c>
      <c r="Q115" s="45" t="s">
        <v>13</v>
      </c>
      <c r="R115" s="45" t="s">
        <v>14</v>
      </c>
      <c r="S115" s="48" t="s">
        <v>138</v>
      </c>
      <c r="T115" s="35"/>
    </row>
    <row r="116" spans="1:20" x14ac:dyDescent="0.3">
      <c r="A116" s="50"/>
      <c r="B116" s="50"/>
      <c r="C116" s="47"/>
      <c r="D116" s="47"/>
      <c r="E116" s="47"/>
      <c r="F116" s="46"/>
      <c r="G116" s="46"/>
      <c r="H116" s="46"/>
      <c r="I116" s="46"/>
      <c r="J116" s="46"/>
      <c r="K116" s="46"/>
      <c r="L116" s="46"/>
      <c r="M116" s="46"/>
      <c r="N116" s="46"/>
      <c r="O116" s="47"/>
      <c r="P116" s="47"/>
      <c r="Q116" s="46"/>
      <c r="R116" s="46"/>
      <c r="S116" s="48"/>
      <c r="T116" s="35"/>
    </row>
    <row r="117" spans="1:20" s="23" customFormat="1" ht="15.6" x14ac:dyDescent="0.3">
      <c r="A117" s="39">
        <v>1</v>
      </c>
      <c r="B117" s="7" t="s">
        <v>18</v>
      </c>
      <c r="C117" s="37">
        <v>-255000</v>
      </c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24">
        <v>10000</v>
      </c>
      <c r="O117" s="24">
        <f>10000*10+N117</f>
        <v>110000</v>
      </c>
      <c r="P117" s="24">
        <f>++D117+E117+F117+G117+H117+I117+J117+K117+L117+M117</f>
        <v>0</v>
      </c>
      <c r="Q117" s="25">
        <f t="shared" ref="Q117:Q130" si="15">+P117-O117</f>
        <v>-110000</v>
      </c>
      <c r="R117" s="24">
        <f t="shared" ref="R117:R130" si="16">+Q117+C117</f>
        <v>-365000</v>
      </c>
      <c r="S117" s="41"/>
      <c r="T117" s="38"/>
    </row>
    <row r="118" spans="1:20" ht="15.6" x14ac:dyDescent="0.3">
      <c r="A118" s="39">
        <v>2</v>
      </c>
      <c r="B118" s="7" t="s">
        <v>119</v>
      </c>
      <c r="C118" s="37">
        <v>-769000</v>
      </c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24">
        <v>10000</v>
      </c>
      <c r="O118" s="24">
        <f t="shared" ref="O118:O130" si="17">10000*10+N118</f>
        <v>110000</v>
      </c>
      <c r="P118" s="24">
        <f t="shared" ref="P118:P130" si="18">++D118+E118+F118+G118+H118+I118+J118+K118+L118+M118</f>
        <v>0</v>
      </c>
      <c r="Q118" s="25">
        <f t="shared" si="15"/>
        <v>-110000</v>
      </c>
      <c r="R118" s="24">
        <f t="shared" si="16"/>
        <v>-879000</v>
      </c>
      <c r="S118" s="31"/>
      <c r="T118" s="34"/>
    </row>
    <row r="119" spans="1:20" ht="15.6" x14ac:dyDescent="0.3">
      <c r="A119" s="39">
        <v>3</v>
      </c>
      <c r="B119" s="7" t="s">
        <v>120</v>
      </c>
      <c r="C119" s="37">
        <v>-814000</v>
      </c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24">
        <v>10000</v>
      </c>
      <c r="O119" s="24">
        <f t="shared" si="17"/>
        <v>110000</v>
      </c>
      <c r="P119" s="24">
        <f t="shared" si="18"/>
        <v>0</v>
      </c>
      <c r="Q119" s="25">
        <f t="shared" si="15"/>
        <v>-110000</v>
      </c>
      <c r="R119" s="24">
        <f t="shared" si="16"/>
        <v>-924000</v>
      </c>
      <c r="S119" s="31"/>
      <c r="T119" s="34"/>
    </row>
    <row r="120" spans="1:20" ht="15.6" x14ac:dyDescent="0.3">
      <c r="A120" s="39">
        <v>4</v>
      </c>
      <c r="B120" s="7" t="s">
        <v>121</v>
      </c>
      <c r="C120" s="37">
        <v>-694500</v>
      </c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24">
        <v>10000</v>
      </c>
      <c r="O120" s="24">
        <f t="shared" si="17"/>
        <v>110000</v>
      </c>
      <c r="P120" s="24">
        <f t="shared" si="18"/>
        <v>0</v>
      </c>
      <c r="Q120" s="25">
        <f t="shared" si="15"/>
        <v>-110000</v>
      </c>
      <c r="R120" s="24">
        <f t="shared" si="16"/>
        <v>-804500</v>
      </c>
      <c r="S120" s="31"/>
      <c r="T120" s="34"/>
    </row>
    <row r="121" spans="1:20" ht="15.6" x14ac:dyDescent="0.3">
      <c r="A121" s="39">
        <v>5</v>
      </c>
      <c r="B121" s="7" t="s">
        <v>122</v>
      </c>
      <c r="C121" s="37">
        <v>-732500</v>
      </c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24">
        <v>10000</v>
      </c>
      <c r="O121" s="24">
        <f t="shared" si="17"/>
        <v>110000</v>
      </c>
      <c r="P121" s="24">
        <f t="shared" si="18"/>
        <v>0</v>
      </c>
      <c r="Q121" s="25">
        <f t="shared" si="15"/>
        <v>-110000</v>
      </c>
      <c r="R121" s="24">
        <f t="shared" si="16"/>
        <v>-842500</v>
      </c>
      <c r="S121" s="31"/>
      <c r="T121" s="34"/>
    </row>
    <row r="122" spans="1:20" ht="15.6" x14ac:dyDescent="0.3">
      <c r="A122" s="39">
        <v>6</v>
      </c>
      <c r="B122" s="7" t="s">
        <v>123</v>
      </c>
      <c r="C122" s="37">
        <v>-750000</v>
      </c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24">
        <v>10000</v>
      </c>
      <c r="O122" s="24">
        <f t="shared" si="17"/>
        <v>110000</v>
      </c>
      <c r="P122" s="24">
        <f t="shared" si="18"/>
        <v>0</v>
      </c>
      <c r="Q122" s="25">
        <f t="shared" si="15"/>
        <v>-110000</v>
      </c>
      <c r="R122" s="24">
        <f t="shared" si="16"/>
        <v>-860000</v>
      </c>
      <c r="S122" s="31"/>
      <c r="T122" s="34"/>
    </row>
    <row r="123" spans="1:20" ht="15.6" customHeight="1" x14ac:dyDescent="0.3">
      <c r="A123" s="39">
        <v>7</v>
      </c>
      <c r="B123" s="9" t="s">
        <v>124</v>
      </c>
      <c r="C123" s="37">
        <v>-957500</v>
      </c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4">
        <v>10000</v>
      </c>
      <c r="O123" s="24">
        <f t="shared" si="17"/>
        <v>110000</v>
      </c>
      <c r="P123" s="24">
        <f t="shared" si="18"/>
        <v>0</v>
      </c>
      <c r="Q123" s="25">
        <f t="shared" si="15"/>
        <v>-110000</v>
      </c>
      <c r="R123" s="24">
        <f t="shared" si="16"/>
        <v>-1067500</v>
      </c>
      <c r="S123" s="31"/>
      <c r="T123" s="34"/>
    </row>
    <row r="124" spans="1:20" ht="15.6" x14ac:dyDescent="0.3">
      <c r="A124" s="39">
        <v>8</v>
      </c>
      <c r="B124" s="7" t="s">
        <v>125</v>
      </c>
      <c r="C124" s="37">
        <v>-677000</v>
      </c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4">
        <v>10000</v>
      </c>
      <c r="O124" s="24">
        <f t="shared" si="17"/>
        <v>110000</v>
      </c>
      <c r="P124" s="24">
        <f t="shared" si="18"/>
        <v>0</v>
      </c>
      <c r="Q124" s="25">
        <f t="shared" si="15"/>
        <v>-110000</v>
      </c>
      <c r="R124" s="24">
        <f t="shared" si="16"/>
        <v>-787000</v>
      </c>
      <c r="S124" s="31"/>
      <c r="T124" s="34"/>
    </row>
    <row r="125" spans="1:20" ht="16.8" customHeight="1" x14ac:dyDescent="0.3">
      <c r="A125" s="39">
        <v>9</v>
      </c>
      <c r="B125" s="9" t="s">
        <v>126</v>
      </c>
      <c r="C125" s="37">
        <v>-745500</v>
      </c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4">
        <v>10000</v>
      </c>
      <c r="O125" s="24">
        <f t="shared" si="17"/>
        <v>110000</v>
      </c>
      <c r="P125" s="24">
        <f t="shared" si="18"/>
        <v>0</v>
      </c>
      <c r="Q125" s="25">
        <f t="shared" si="15"/>
        <v>-110000</v>
      </c>
      <c r="R125" s="24">
        <f t="shared" si="16"/>
        <v>-855500</v>
      </c>
      <c r="S125" s="31"/>
      <c r="T125" s="34"/>
    </row>
    <row r="126" spans="1:20" ht="15.6" x14ac:dyDescent="0.3">
      <c r="A126" s="39">
        <v>10</v>
      </c>
      <c r="B126" s="7" t="s">
        <v>128</v>
      </c>
      <c r="C126" s="37">
        <v>-435000</v>
      </c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24">
        <v>10000</v>
      </c>
      <c r="O126" s="24">
        <f t="shared" si="17"/>
        <v>110000</v>
      </c>
      <c r="P126" s="24">
        <f t="shared" si="18"/>
        <v>0</v>
      </c>
      <c r="Q126" s="25">
        <f t="shared" si="15"/>
        <v>-110000</v>
      </c>
      <c r="R126" s="24">
        <f t="shared" si="16"/>
        <v>-545000</v>
      </c>
      <c r="S126" s="31"/>
      <c r="T126" s="34"/>
    </row>
    <row r="127" spans="1:20" ht="15.6" x14ac:dyDescent="0.3">
      <c r="A127" s="39">
        <v>11</v>
      </c>
      <c r="B127" s="7" t="s">
        <v>129</v>
      </c>
      <c r="C127" s="37">
        <v>-545000</v>
      </c>
      <c r="D127" s="19">
        <v>10000</v>
      </c>
      <c r="E127" s="19"/>
      <c r="F127" s="19"/>
      <c r="G127" s="19"/>
      <c r="H127" s="19"/>
      <c r="I127" s="19"/>
      <c r="J127" s="19"/>
      <c r="K127" s="19"/>
      <c r="L127" s="19"/>
      <c r="M127" s="19"/>
      <c r="N127" s="24">
        <v>10000</v>
      </c>
      <c r="O127" s="24">
        <f t="shared" si="17"/>
        <v>110000</v>
      </c>
      <c r="P127" s="24">
        <f t="shared" si="18"/>
        <v>10000</v>
      </c>
      <c r="Q127" s="25">
        <f t="shared" si="15"/>
        <v>-100000</v>
      </c>
      <c r="R127" s="24">
        <f t="shared" si="16"/>
        <v>-645000</v>
      </c>
      <c r="S127" s="31"/>
      <c r="T127" s="34"/>
    </row>
    <row r="128" spans="1:20" ht="15.6" x14ac:dyDescent="0.3">
      <c r="A128" s="39">
        <v>12</v>
      </c>
      <c r="B128" s="7" t="s">
        <v>130</v>
      </c>
      <c r="C128" s="37">
        <v>-925000</v>
      </c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24">
        <v>10000</v>
      </c>
      <c r="O128" s="24">
        <f t="shared" si="17"/>
        <v>110000</v>
      </c>
      <c r="P128" s="24">
        <f t="shared" si="18"/>
        <v>0</v>
      </c>
      <c r="Q128" s="25">
        <f t="shared" si="15"/>
        <v>-110000</v>
      </c>
      <c r="R128" s="24">
        <f t="shared" si="16"/>
        <v>-1035000</v>
      </c>
      <c r="S128" s="31"/>
      <c r="T128" s="34"/>
    </row>
    <row r="129" spans="1:20" ht="15.6" x14ac:dyDescent="0.3">
      <c r="A129" s="39">
        <v>13</v>
      </c>
      <c r="B129" s="7" t="s">
        <v>131</v>
      </c>
      <c r="C129" s="37">
        <v>-680000</v>
      </c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24">
        <v>10000</v>
      </c>
      <c r="O129" s="24">
        <f t="shared" si="17"/>
        <v>110000</v>
      </c>
      <c r="P129" s="24">
        <f t="shared" si="18"/>
        <v>0</v>
      </c>
      <c r="Q129" s="25">
        <f t="shared" si="15"/>
        <v>-110000</v>
      </c>
      <c r="R129" s="24">
        <f t="shared" si="16"/>
        <v>-790000</v>
      </c>
      <c r="S129" s="31"/>
      <c r="T129" s="34"/>
    </row>
    <row r="130" spans="1:20" ht="15.6" x14ac:dyDescent="0.3">
      <c r="A130" s="39">
        <v>14</v>
      </c>
      <c r="B130" s="7" t="s">
        <v>132</v>
      </c>
      <c r="C130" s="37">
        <v>-625000</v>
      </c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24">
        <v>10000</v>
      </c>
      <c r="O130" s="24">
        <f t="shared" si="17"/>
        <v>110000</v>
      </c>
      <c r="P130" s="24">
        <f t="shared" si="18"/>
        <v>0</v>
      </c>
      <c r="Q130" s="25">
        <f t="shared" si="15"/>
        <v>-110000</v>
      </c>
      <c r="R130" s="24">
        <f t="shared" si="16"/>
        <v>-735000</v>
      </c>
      <c r="S130" s="31"/>
      <c r="T130" s="34"/>
    </row>
    <row r="131" spans="1:20" ht="18" x14ac:dyDescent="0.35">
      <c r="A131" s="49" t="s">
        <v>118</v>
      </c>
      <c r="B131" s="49"/>
      <c r="C131" s="26">
        <f>SUM(C117:C130)</f>
        <v>-9605000</v>
      </c>
      <c r="D131" s="26">
        <f t="shared" ref="D131:S131" si="19">SUM(D117:D130)</f>
        <v>10000</v>
      </c>
      <c r="E131" s="26">
        <f t="shared" si="19"/>
        <v>0</v>
      </c>
      <c r="F131" s="26">
        <f t="shared" si="19"/>
        <v>0</v>
      </c>
      <c r="G131" s="26">
        <f t="shared" si="19"/>
        <v>0</v>
      </c>
      <c r="H131" s="26">
        <f t="shared" si="19"/>
        <v>0</v>
      </c>
      <c r="I131" s="26">
        <f t="shared" si="19"/>
        <v>0</v>
      </c>
      <c r="J131" s="26">
        <f t="shared" si="19"/>
        <v>0</v>
      </c>
      <c r="K131" s="26">
        <f t="shared" si="19"/>
        <v>0</v>
      </c>
      <c r="L131" s="26">
        <f t="shared" si="19"/>
        <v>0</v>
      </c>
      <c r="M131" s="26">
        <f t="shared" si="19"/>
        <v>0</v>
      </c>
      <c r="N131" s="26">
        <f>SUM(N117:N130)</f>
        <v>140000</v>
      </c>
      <c r="O131" s="26">
        <f t="shared" si="19"/>
        <v>1540000</v>
      </c>
      <c r="P131" s="26">
        <f t="shared" si="19"/>
        <v>10000</v>
      </c>
      <c r="Q131" s="26">
        <f t="shared" si="19"/>
        <v>-1530000</v>
      </c>
      <c r="R131" s="26">
        <f t="shared" si="19"/>
        <v>-11135000</v>
      </c>
      <c r="S131" s="26">
        <f t="shared" si="19"/>
        <v>0</v>
      </c>
    </row>
    <row r="132" spans="1:20" x14ac:dyDescent="0.3">
      <c r="R132" s="1"/>
    </row>
    <row r="133" spans="1:20" s="23" customFormat="1" x14ac:dyDescent="0.3">
      <c r="C133" s="29"/>
      <c r="S133" s="29"/>
    </row>
    <row r="134" spans="1:20" s="23" customFormat="1" x14ac:dyDescent="0.3">
      <c r="B134" s="23" t="s">
        <v>146</v>
      </c>
      <c r="C134" s="29"/>
      <c r="S134" s="29"/>
    </row>
    <row r="135" spans="1:20" s="23" customFormat="1" x14ac:dyDescent="0.3">
      <c r="C135" s="29"/>
      <c r="S135" s="29"/>
    </row>
    <row r="136" spans="1:20" s="23" customFormat="1" x14ac:dyDescent="0.3">
      <c r="C136" s="29"/>
      <c r="S136" s="29"/>
    </row>
    <row r="137" spans="1:20" x14ac:dyDescent="0.3">
      <c r="B137" s="33" t="s">
        <v>134</v>
      </c>
    </row>
    <row r="138" spans="1:20" ht="15.6" x14ac:dyDescent="0.3">
      <c r="B138" s="7" t="s">
        <v>129</v>
      </c>
      <c r="C138" s="29">
        <v>50000</v>
      </c>
      <c r="D138" t="s">
        <v>147</v>
      </c>
    </row>
    <row r="140" spans="1:20" s="23" customFormat="1" x14ac:dyDescent="0.3">
      <c r="B140" s="23" t="s">
        <v>161</v>
      </c>
      <c r="C140" s="44" t="s">
        <v>162</v>
      </c>
      <c r="D140" s="23" t="s">
        <v>163</v>
      </c>
      <c r="S140" s="29"/>
    </row>
    <row r="141" spans="1:20" s="23" customFormat="1" x14ac:dyDescent="0.3">
      <c r="C141" s="29"/>
      <c r="S141" s="29"/>
    </row>
    <row r="142" spans="1:20" ht="15.6" x14ac:dyDescent="0.3">
      <c r="B142" s="28" t="s">
        <v>135</v>
      </c>
    </row>
    <row r="143" spans="1:20" ht="15.6" x14ac:dyDescent="0.3">
      <c r="B143" s="32"/>
      <c r="C143" s="30"/>
    </row>
    <row r="144" spans="1:20" s="23" customFormat="1" x14ac:dyDescent="0.3">
      <c r="B144" s="43" t="s">
        <v>153</v>
      </c>
      <c r="C144" s="30"/>
      <c r="S144" s="29"/>
    </row>
    <row r="145" spans="2:19" s="23" customFormat="1" x14ac:dyDescent="0.3">
      <c r="B145" s="43"/>
      <c r="C145" s="30"/>
      <c r="S145" s="29"/>
    </row>
    <row r="146" spans="2:19" s="23" customFormat="1" x14ac:dyDescent="0.3">
      <c r="B146" s="43" t="s">
        <v>154</v>
      </c>
      <c r="C146" s="30"/>
      <c r="S146" s="29"/>
    </row>
    <row r="148" spans="2:19" x14ac:dyDescent="0.3">
      <c r="B148" s="36" t="s">
        <v>141</v>
      </c>
    </row>
  </sheetData>
  <mergeCells count="39">
    <mergeCell ref="F5:F6"/>
    <mergeCell ref="F115:F116"/>
    <mergeCell ref="J5:J6"/>
    <mergeCell ref="J115:J116"/>
    <mergeCell ref="G115:G116"/>
    <mergeCell ref="H115:H116"/>
    <mergeCell ref="I5:I6"/>
    <mergeCell ref="I115:I116"/>
    <mergeCell ref="G5:G6"/>
    <mergeCell ref="H5:H6"/>
    <mergeCell ref="A131:B131"/>
    <mergeCell ref="D115:D116"/>
    <mergeCell ref="A115:A116"/>
    <mergeCell ref="B115:B116"/>
    <mergeCell ref="E5:E6"/>
    <mergeCell ref="E115:E116"/>
    <mergeCell ref="A5:A6"/>
    <mergeCell ref="B5:B6"/>
    <mergeCell ref="D5:D6"/>
    <mergeCell ref="C5:C6"/>
    <mergeCell ref="C115:C116"/>
    <mergeCell ref="S5:S6"/>
    <mergeCell ref="S115:S116"/>
    <mergeCell ref="N5:N6"/>
    <mergeCell ref="Q115:Q116"/>
    <mergeCell ref="N115:N116"/>
    <mergeCell ref="Q5:Q6"/>
    <mergeCell ref="O115:O116"/>
    <mergeCell ref="P115:P116"/>
    <mergeCell ref="O5:O6"/>
    <mergeCell ref="P5:P6"/>
    <mergeCell ref="M5:M6"/>
    <mergeCell ref="K115:K116"/>
    <mergeCell ref="L115:L116"/>
    <mergeCell ref="M115:M116"/>
    <mergeCell ref="R5:R6"/>
    <mergeCell ref="R115:R116"/>
    <mergeCell ref="K5:K6"/>
    <mergeCell ref="L5:L6"/>
  </mergeCells>
  <pageMargins left="0.7" right="0.7" top="0.75" bottom="0.75" header="0.3" footer="0.3"/>
  <pageSetup paperSize="9" scale="4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8"/>
  <sheetViews>
    <sheetView workbookViewId="0">
      <selection activeCell="N22" sqref="N22"/>
    </sheetView>
  </sheetViews>
  <sheetFormatPr baseColWidth="10" defaultRowHeight="14.4" x14ac:dyDescent="0.3"/>
  <cols>
    <col min="1" max="1" width="25.44140625" bestFit="1" customWidth="1"/>
    <col min="2" max="2" width="11.5546875" style="29"/>
  </cols>
  <sheetData>
    <row r="2" spans="1:3" x14ac:dyDescent="0.3">
      <c r="A2" t="s">
        <v>149</v>
      </c>
      <c r="B2" s="29">
        <v>50000</v>
      </c>
      <c r="C2" t="s">
        <v>151</v>
      </c>
    </row>
    <row r="3" spans="1:3" s="23" customFormat="1" x14ac:dyDescent="0.3">
      <c r="A3" s="23" t="s">
        <v>148</v>
      </c>
      <c r="B3" s="29">
        <v>50000</v>
      </c>
      <c r="C3" s="23" t="s">
        <v>147</v>
      </c>
    </row>
    <row r="4" spans="1:3" s="23" customFormat="1" x14ac:dyDescent="0.3">
      <c r="A4" s="23" t="s">
        <v>150</v>
      </c>
      <c r="B4" s="29">
        <v>150000</v>
      </c>
      <c r="C4" s="23" t="s">
        <v>152</v>
      </c>
    </row>
    <row r="5" spans="1:3" s="23" customFormat="1" x14ac:dyDescent="0.3">
      <c r="A5" s="23" t="s">
        <v>144</v>
      </c>
      <c r="B5" s="29">
        <v>35000</v>
      </c>
      <c r="C5" s="23" t="s">
        <v>145</v>
      </c>
    </row>
    <row r="6" spans="1:3" x14ac:dyDescent="0.3">
      <c r="A6" t="s">
        <v>139</v>
      </c>
      <c r="B6" s="29">
        <v>40000</v>
      </c>
      <c r="C6" t="s">
        <v>140</v>
      </c>
    </row>
    <row r="7" spans="1:3" s="23" customFormat="1" x14ac:dyDescent="0.3">
      <c r="B7" s="29"/>
    </row>
    <row r="8" spans="1:3" x14ac:dyDescent="0.3">
      <c r="A8" t="s">
        <v>142</v>
      </c>
      <c r="B8" s="29">
        <v>10000</v>
      </c>
      <c r="C8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COTISATION MENSUELLE 2025</vt:lpstr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2025-10-06T16:07:47Z</cp:lastPrinted>
  <dcterms:created xsi:type="dcterms:W3CDTF">2024-04-20T08:29:23Z</dcterms:created>
  <dcterms:modified xsi:type="dcterms:W3CDTF">2025-10-07T18:49:42Z</dcterms:modified>
</cp:coreProperties>
</file>